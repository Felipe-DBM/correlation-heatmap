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Workstation\Desktop\correlation_heatmap\"/>
    </mc:Choice>
  </mc:AlternateContent>
  <xr:revisionPtr revIDLastSave="0" documentId="13_ncr:1_{41094E47-1038-4619-B33D-A881B745826F}" xr6:coauthVersionLast="47" xr6:coauthVersionMax="47" xr10:uidLastSave="{00000000-0000-0000-0000-000000000000}"/>
  <bookViews>
    <workbookView xWindow="-120" yWindow="-120" windowWidth="20730" windowHeight="11040" activeTab="4" xr2:uid="{594DD453-FCDD-496E-BCF9-521BA84413F9}"/>
  </bookViews>
  <sheets>
    <sheet name="GDX" sheetId="6" r:id="rId1"/>
    <sheet name="NVDA" sheetId="3" r:id="rId2"/>
    <sheet name="VOO" sheetId="2" r:id="rId3"/>
    <sheet name="WMT" sheetId="5" r:id="rId4"/>
    <sheet name="Correlations" sheetId="9" r:id="rId5"/>
    <sheet name="Dataset" sheetId="1" r:id="rId6"/>
  </sheets>
  <definedNames>
    <definedName name="DatosExternos_1" localSheetId="2" hidden="1">VOO!$A$1:$B$1253</definedName>
    <definedName name="DatosExternos_2" localSheetId="1" hidden="1">NVDA!$A$1:$B$1248</definedName>
    <definedName name="DatosExternos_2" localSheetId="3" hidden="1">WMT!$A$1:$B$1248</definedName>
    <definedName name="DatosExternos_3" localSheetId="0" hidden="1">GDX!$A$1:$B$1253</definedName>
    <definedName name="vars">Dataset!$A$1:$D$1247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9" l="1" a="1"/>
  <c r="B1" i="9" s="1"/>
  <c r="E4" i="9" a="1"/>
  <c r="E4" i="9"/>
  <c r="D3" i="9" a="1"/>
  <c r="D3" i="9" s="1"/>
  <c r="C2" i="9" a="1"/>
  <c r="C2" i="9" s="1"/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90F45-71AF-41EC-B762-0B1D500A9794}" keepAlive="1" name="Consulta - Datos históricos de NVIDIA (NVDA)" description="Conexión a la consulta 'Datos históricos de NVIDIA (NVDA)' en el libro." type="5" refreshedVersion="8" background="1" saveData="1">
    <dbPr connection="Provider=Microsoft.Mashup.OleDb.1;Data Source=$Workbook$;Location=&quot;Datos históricos de NVIDIA (NVDA)&quot;;Extended Properties=&quot;&quot;" command="SELECT * FROM [Datos históricos de NVIDIA (NVDA)]"/>
  </connection>
  <connection id="2" xr16:uid="{8886FEFD-53E5-4177-94D0-5B15940F588E}" keepAlive="1" name="Consulta - Datos históricos de Walmart (WMT)" description="Conexión a la consulta 'Datos históricos de Walmart (WMT)' en el libro." type="5" refreshedVersion="8" background="1" saveData="1">
    <dbPr connection="Provider=Microsoft.Mashup.OleDb.1;Data Source=$Workbook$;Location=&quot;Datos históricos de Walmart (WMT)&quot;;Extended Properties=&quot;&quot;" command="SELECT * FROM [Datos históricos de Walmart (WMT)]"/>
  </connection>
  <connection id="3" xr16:uid="{7FCA54DB-E896-4B6E-A6DA-96D146320581}" keepAlive="1" name="Consulta - Datos históricos GDX" description="Conexión a la consulta 'Datos históricos GDX' en el libro." type="5" refreshedVersion="8" background="1" saveData="1">
    <dbPr connection="Provider=Microsoft.Mashup.OleDb.1;Data Source=$Workbook$;Location=&quot;Datos históricos GDX&quot;;Extended Properties=&quot;&quot;" command="SELECT * FROM [Datos históricos GDX]"/>
  </connection>
  <connection id="4" xr16:uid="{3B72373A-D305-4A23-89A7-5A4D005C07AF}" keepAlive="1" name="Consulta - Datos históricos VOO" description="Conexión a la consulta 'Datos históricos VOO' en el libro." type="5" refreshedVersion="8" background="1" saveData="1">
    <dbPr connection="Provider=Microsoft.Mashup.OleDb.1;Data Source=$Workbook$;Location=&quot;Datos históricos VOO&quot;;Extended Properties=&quot;&quot;" command="SELECT * FROM [Datos históricos VO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<sst xmlns="http://schemas.openxmlformats.org/spreadsheetml/2006/main" count="20" uniqueCount="12">
  <si>
    <t>Fecha</t>
  </si>
  <si>
    <t>Último</t>
  </si>
  <si>
    <t>var. %</t>
  </si>
  <si>
    <t>Var. %</t>
  </si>
  <si>
    <t>Var. % GDX</t>
  </si>
  <si>
    <t>Var. % NVDA</t>
  </si>
  <si>
    <t>var. % VOO</t>
  </si>
  <si>
    <t>Var. % WMT</t>
  </si>
  <si>
    <t>GDX</t>
  </si>
  <si>
    <t>NVDA</t>
  </si>
  <si>
    <t>VOO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</si>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</sst>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0" fontId="0" fillId="0" borderId="0" xfId="0" applyNumberFormat="1"/>
    <xf numFmtId="10" fontId="0" fillId="0" borderId="0" xfId="2" applyNumberFormat="1" applyFont="1"/>
    <xf numFmtId="10" fontId="0" fillId="0" borderId="1" xfId="2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3" xfId="0" applyFont="1" applyFill="1" applyBorder="1" applyAlignment="1"/>
  </cellXfs>
  <cellStyles count="3">
    <cellStyle name="Millares" xfId="1" builtinId="3"/>
    <cellStyle name="Normal" xfId="0" builtinId="0"/>
    <cellStyle name="Porcentaje" xfId="2" builtinId="5"/>
  </cellStyles>
  <dxfs count="18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0" formatCode="General"/>
    </dxf>
    <dxf>
      <numFmt numFmtId="164" formatCode="_-* #,##0_-;\-* #,##0_-;_-* &quot;-&quot;??_-;_-@_-"/>
    </dxf>
    <dxf>
      <numFmt numFmtId="19" formatCode="d/mm/yyyy"/>
    </dxf>
    <dxf>
      <numFmt numFmtId="0" formatCode="General"/>
    </dxf>
    <dxf>
      <numFmt numFmtId="164" formatCode="_-* #,##0_-;\-* #,##0_-;_-* &quot;-&quot;??_-;_-@_-"/>
    </dxf>
    <dxf>
      <numFmt numFmtId="19" formatCode="d/mm/yyyy"/>
    </dxf>
    <dxf>
      <numFmt numFmtId="0" formatCode="General"/>
    </dxf>
    <dxf>
      <numFmt numFmtId="164" formatCode="_-* #,##0_-;\-* #,##0_-;_-* &quot;-&quot;??_-;_-@_-"/>
    </dxf>
    <dxf>
      <numFmt numFmtId="19" formatCode="d/mm/yyyy"/>
    </dxf>
    <dxf>
      <numFmt numFmtId="0" formatCode="General"/>
    </dxf>
    <dxf>
      <numFmt numFmtId="164" formatCode="_-* #,##0_-;\-* #,##0_-;_-* &quot;-&quot;??_-;_-@_-"/>
    </dxf>
    <dxf>
      <numFmt numFmtId="19" formatCode="d/mm/yyyy"/>
    </dxf>
    <dxf>
      <fill>
        <patternFill>
          <bgColor rgb="FFFFF7F7"/>
        </patternFill>
      </fill>
    </dxf>
    <dxf>
      <fill>
        <patternFill>
          <bgColor rgb="FFFFAFAF"/>
        </patternFill>
      </fill>
    </dxf>
    <dxf>
      <font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4" xr9:uid="{825968AA-69DC-4AB7-B9C2-E78B63BA7888}">
      <tableStyleElement type="wholeTable" dxfId="17"/>
      <tableStyleElement type="headerRow" dxfId="16"/>
      <tableStyleElement type="firstRowStripe" dxfId="15"/>
      <tableStyleElement type="secondRowStripe" dxfId="14"/>
    </tableStyle>
  </tableStyles>
  <colors>
    <mruColors>
      <color rgb="FFFFF7F7"/>
      <color rgb="FFFFD9D9"/>
      <color rgb="FFFFAFAF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9C2FE7D3-0341-4D95-B0C3-23F5C94B6348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Fecha" tableColumnId="1"/>
      <queryTableField id="2" name="Último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749E751F-A18C-4721-9F8E-45C791B9921A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Fecha" tableColumnId="1"/>
      <queryTableField id="2" name="Último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E86BDDD7-5B19-4363-89AE-E5B488F2F685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Fecha" tableColumnId="1"/>
      <queryTableField id="2" name="Último" tableColumnId="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98713CF-F223-4A13-918E-19A18F8240E0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2" name="Fecha" tableColumnId="2"/>
      <queryTableField id="1" name="Último" tableColumnId="1"/>
      <queryTableField id="4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29643E-FC8B-483A-A277-CB01CCABEABE}" name="GDX_data" displayName="GDX_data" ref="A1:C1253" tableType="queryTable" totalsRowShown="0">
  <autoFilter ref="A1:C1253" xr:uid="{C929643E-FC8B-483A-A277-CB01CCABEABE}"/>
  <tableColumns count="3">
    <tableColumn id="1" xr3:uid="{65863A7D-2F49-420C-8432-458EA2E27400}" uniqueName="1" name="Fecha" queryTableFieldId="1" dataDxfId="13"/>
    <tableColumn id="2" xr3:uid="{2D05F597-D4E4-4B87-8860-79B0A1D1EDA9}" uniqueName="2" name="Último" queryTableFieldId="2" dataDxfId="12" dataCellStyle="Millares"/>
    <tableColumn id="3" xr3:uid="{0CF26C51-923E-4AF0-BC1D-518CC243FA6E}" uniqueName="3" name="Var. %" queryTableFieldId="3" dataDxfId="11">
      <calculatedColumnFormula>(GDX_data[[#This Row],[Último]]/B1)-1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61941-DCB8-4AB2-AF10-7E1B03E9FA41}" name="NVDA_data" displayName="NVDA_data" ref="A1:C1248" tableType="queryTable" totalsRowShown="0">
  <autoFilter ref="A1:C1248" xr:uid="{9FC61941-DCB8-4AB2-AF10-7E1B03E9FA41}"/>
  <tableColumns count="3">
    <tableColumn id="1" xr3:uid="{41EA065D-5578-47AB-B60D-8A798A494F64}" uniqueName="1" name="Fecha" queryTableFieldId="1" dataDxfId="10"/>
    <tableColumn id="2" xr3:uid="{C223BB62-C21F-4DD1-8475-260CA68E0FE2}" uniqueName="2" name="Último" queryTableFieldId="2" dataDxfId="9" dataCellStyle="Millares"/>
    <tableColumn id="3" xr3:uid="{CA724DEE-BCF0-4EDC-B70C-EF5C1F68412E}" uniqueName="3" name="Var. %" queryTableFieldId="3" dataDxfId="8">
      <calculatedColumnFormula>+(NVDA_data[[#This Row],[Último]]/B1)-1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D4515-A73B-487B-8CE3-E5C2765152A5}" name="VOO_data" displayName="VOO_data" ref="A1:C1253" tableType="queryTable" totalsRowShown="0">
  <autoFilter ref="A1:C1253" xr:uid="{10BD4515-A73B-487B-8CE3-E5C2765152A5}"/>
  <tableColumns count="3">
    <tableColumn id="1" xr3:uid="{888FF096-9238-48BA-A8D3-641E89B4B6C9}" uniqueName="1" name="Fecha" queryTableFieldId="1" dataDxfId="7"/>
    <tableColumn id="2" xr3:uid="{66789FCE-91B2-4B01-90D1-6E26FBE79810}" uniqueName="2" name="Último" queryTableFieldId="2" dataDxfId="6" dataCellStyle="Millares"/>
    <tableColumn id="3" xr3:uid="{46CED893-6DF7-4222-AFE9-320DCB4CD4ED}" uniqueName="3" name="var. %" queryTableFieldId="3" dataDxfId="5">
      <calculatedColumnFormula>(VOO_data[[#This Row],[Último]]/B1)-1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35A457-1969-4225-9C53-1A575DE228B8}" name="WMT_data" displayName="WMT_data" ref="A1:C1248" tableType="queryTable" totalsRowShown="0">
  <autoFilter ref="A1:C1248" xr:uid="{0135A457-1969-4225-9C53-1A575DE228B8}"/>
  <tableColumns count="3">
    <tableColumn id="2" xr3:uid="{4B12A46B-1EFC-4A5A-8EE0-9E6502619243}" uniqueName="2" name="Fecha" queryTableFieldId="2" dataDxfId="4"/>
    <tableColumn id="1" xr3:uid="{DA500ADF-AFF3-4A2E-AE9D-610CCD08AF55}" uniqueName="1" name="Último" queryTableFieldId="1" dataDxfId="3" dataCellStyle="Millares"/>
    <tableColumn id="3" xr3:uid="{33BC71DC-CC57-4317-BD34-2FCCFDB11AC8}" uniqueName="3" name="Var. %" queryTableFieldId="4" dataDxfId="2">
      <calculatedColumnFormula>(WMT_data[[#This Row],[Último]]/B1)-1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2FEF95-C4FE-43CD-B226-3D47E2A0A036}" name="dataset" displayName="dataset" ref="A1:D1252" totalsRowShown="0" headerRowBorderDxfId="1" tableBorderDxfId="0">
  <autoFilter ref="A1:D1252" xr:uid="{072FEF95-C4FE-43CD-B226-3D47E2A0A036}"/>
  <tableColumns count="4">
    <tableColumn id="1" xr3:uid="{3466403F-4E7B-4F06-ABF9-BFBA3FF39853}" name="Var. % GDX"/>
    <tableColumn id="2" xr3:uid="{F570FCDE-F0F8-42D2-8332-6CF7A50535F5}" name="Var. % NVDA"/>
    <tableColumn id="3" xr3:uid="{76AF050B-62CA-43CA-8839-2E2DF0D9F354}" name="var. % VOO"/>
    <tableColumn id="4" xr3:uid="{987771D8-D7AB-469A-80EE-286E9A482E6D}" name="Var. % WM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8514-1B64-4FD8-AB91-C1884F938C18}">
  <sheetPr>
    <tabColor theme="1"/>
  </sheetPr>
  <dimension ref="A1:C1253"/>
  <sheetViews>
    <sheetView topLeftCell="A1233" workbookViewId="0">
      <selection activeCell="C1" sqref="C1:C1253"/>
    </sheetView>
  </sheetViews>
  <sheetFormatPr baseColWidth="10" defaultRowHeight="15" x14ac:dyDescent="0.25"/>
  <cols>
    <col min="1" max="1" width="10.42578125" bestFit="1" customWidth="1"/>
    <col min="2" max="2" width="9.5703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44200</v>
      </c>
      <c r="B2" s="2">
        <v>3851</v>
      </c>
    </row>
    <row r="3" spans="1:3" x14ac:dyDescent="0.25">
      <c r="A3" s="1">
        <v>44201</v>
      </c>
      <c r="B3" s="2">
        <v>3850</v>
      </c>
      <c r="C3" s="4">
        <f>(GDX_data[[#This Row],[Último]]/B2)-1</f>
        <v>-2.596728122565839E-4</v>
      </c>
    </row>
    <row r="4" spans="1:3" x14ac:dyDescent="0.25">
      <c r="A4" s="1">
        <v>44202</v>
      </c>
      <c r="B4" s="2">
        <v>3846</v>
      </c>
      <c r="C4" s="4">
        <f>(GDX_data[[#This Row],[Último]]/B3)-1</f>
        <v>-1.0389610389610615E-3</v>
      </c>
    </row>
    <row r="5" spans="1:3" x14ac:dyDescent="0.25">
      <c r="A5" s="1">
        <v>44203</v>
      </c>
      <c r="B5" s="2">
        <v>3837</v>
      </c>
      <c r="C5" s="4">
        <f>(GDX_data[[#This Row],[Último]]/B4)-1</f>
        <v>-2.3400936037440978E-3</v>
      </c>
    </row>
    <row r="6" spans="1:3" x14ac:dyDescent="0.25">
      <c r="A6" s="1">
        <v>44204</v>
      </c>
      <c r="B6" s="2">
        <v>3652</v>
      </c>
      <c r="C6" s="4">
        <f>(GDX_data[[#This Row],[Último]]/B5)-1</f>
        <v>-4.8214751107636178E-2</v>
      </c>
    </row>
    <row r="7" spans="1:3" x14ac:dyDescent="0.25">
      <c r="A7" s="1">
        <v>44207</v>
      </c>
      <c r="B7" s="2">
        <v>3578</v>
      </c>
      <c r="C7" s="4">
        <f>(GDX_data[[#This Row],[Último]]/B6)-1</f>
        <v>-2.0262869660459981E-2</v>
      </c>
    </row>
    <row r="8" spans="1:3" x14ac:dyDescent="0.25">
      <c r="A8" s="1">
        <v>44208</v>
      </c>
      <c r="B8" s="2">
        <v>3604</v>
      </c>
      <c r="C8" s="4">
        <f>(GDX_data[[#This Row],[Último]]/B7)-1</f>
        <v>7.2666294019005928E-3</v>
      </c>
    </row>
    <row r="9" spans="1:3" x14ac:dyDescent="0.25">
      <c r="A9" s="1">
        <v>44209</v>
      </c>
      <c r="B9" s="2">
        <v>3564</v>
      </c>
      <c r="C9" s="4">
        <f>(GDX_data[[#This Row],[Último]]/B8)-1</f>
        <v>-1.1098779134295245E-2</v>
      </c>
    </row>
    <row r="10" spans="1:3" x14ac:dyDescent="0.25">
      <c r="A10" s="1">
        <v>44210</v>
      </c>
      <c r="B10" s="2">
        <v>3561</v>
      </c>
      <c r="C10" s="4">
        <f>(GDX_data[[#This Row],[Último]]/B9)-1</f>
        <v>-8.4175084175086567E-4</v>
      </c>
    </row>
    <row r="11" spans="1:3" x14ac:dyDescent="0.25">
      <c r="A11" s="1">
        <v>44211</v>
      </c>
      <c r="B11" s="2">
        <v>3451</v>
      </c>
      <c r="C11" s="4">
        <f>(GDX_data[[#This Row],[Último]]/B10)-1</f>
        <v>-3.089019938219606E-2</v>
      </c>
    </row>
    <row r="12" spans="1:3" x14ac:dyDescent="0.25">
      <c r="A12" s="1">
        <v>44215</v>
      </c>
      <c r="B12" s="2">
        <v>3487</v>
      </c>
      <c r="C12" s="4">
        <f>(GDX_data[[#This Row],[Último]]/B11)-1</f>
        <v>1.0431758910460776E-2</v>
      </c>
    </row>
    <row r="13" spans="1:3" x14ac:dyDescent="0.25">
      <c r="A13" s="1">
        <v>44216</v>
      </c>
      <c r="B13" s="2">
        <v>3604</v>
      </c>
      <c r="C13" s="4">
        <f>(GDX_data[[#This Row],[Último]]/B12)-1</f>
        <v>3.3553197591052575E-2</v>
      </c>
    </row>
    <row r="14" spans="1:3" x14ac:dyDescent="0.25">
      <c r="A14" s="1">
        <v>44217</v>
      </c>
      <c r="B14" s="2">
        <v>3571</v>
      </c>
      <c r="C14" s="4">
        <f>(GDX_data[[#This Row],[Último]]/B13)-1</f>
        <v>-9.1564927857935574E-3</v>
      </c>
    </row>
    <row r="15" spans="1:3" x14ac:dyDescent="0.25">
      <c r="A15" s="1">
        <v>44218</v>
      </c>
      <c r="B15" s="2">
        <v>3523</v>
      </c>
      <c r="C15" s="4">
        <f>(GDX_data[[#This Row],[Último]]/B14)-1</f>
        <v>-1.3441612993559282E-2</v>
      </c>
    </row>
    <row r="16" spans="1:3" x14ac:dyDescent="0.25">
      <c r="A16" s="1">
        <v>44221</v>
      </c>
      <c r="B16" s="2">
        <v>3519</v>
      </c>
      <c r="C16" s="4">
        <f>(GDX_data[[#This Row],[Último]]/B15)-1</f>
        <v>-1.1353959693443105E-3</v>
      </c>
    </row>
    <row r="17" spans="1:3" x14ac:dyDescent="0.25">
      <c r="A17" s="1">
        <v>44222</v>
      </c>
      <c r="B17" s="2">
        <v>3509</v>
      </c>
      <c r="C17" s="4">
        <f>(GDX_data[[#This Row],[Último]]/B16)-1</f>
        <v>-2.8417163967036085E-3</v>
      </c>
    </row>
    <row r="18" spans="1:3" x14ac:dyDescent="0.25">
      <c r="A18" s="1">
        <v>44223</v>
      </c>
      <c r="B18" s="2">
        <v>3374</v>
      </c>
      <c r="C18" s="4">
        <f>(GDX_data[[#This Row],[Último]]/B17)-1</f>
        <v>-3.8472499287546258E-2</v>
      </c>
    </row>
    <row r="19" spans="1:3" x14ac:dyDescent="0.25">
      <c r="A19" s="1">
        <v>44224</v>
      </c>
      <c r="B19" s="2">
        <v>3458</v>
      </c>
      <c r="C19" s="4">
        <f>(GDX_data[[#This Row],[Último]]/B18)-1</f>
        <v>2.4896265560165887E-2</v>
      </c>
    </row>
    <row r="20" spans="1:3" x14ac:dyDescent="0.25">
      <c r="A20" s="1">
        <v>44225</v>
      </c>
      <c r="B20" s="2">
        <v>3451</v>
      </c>
      <c r="C20" s="4">
        <f>(GDX_data[[#This Row],[Último]]/B19)-1</f>
        <v>-2.0242914979756721E-3</v>
      </c>
    </row>
    <row r="21" spans="1:3" x14ac:dyDescent="0.25">
      <c r="A21" s="1">
        <v>44228</v>
      </c>
      <c r="B21" s="2">
        <v>3568</v>
      </c>
      <c r="C21" s="4">
        <f>(GDX_data[[#This Row],[Último]]/B20)-1</f>
        <v>3.3903216458997409E-2</v>
      </c>
    </row>
    <row r="22" spans="1:3" x14ac:dyDescent="0.25">
      <c r="A22" s="1">
        <v>44229</v>
      </c>
      <c r="B22" s="2">
        <v>3462</v>
      </c>
      <c r="C22" s="4">
        <f>(GDX_data[[#This Row],[Último]]/B21)-1</f>
        <v>-2.97085201793722E-2</v>
      </c>
    </row>
    <row r="23" spans="1:3" x14ac:dyDescent="0.25">
      <c r="A23" s="1">
        <v>44230</v>
      </c>
      <c r="B23" s="2">
        <v>3461</v>
      </c>
      <c r="C23" s="4">
        <f>(GDX_data[[#This Row],[Último]]/B22)-1</f>
        <v>-2.8885037550552273E-4</v>
      </c>
    </row>
    <row r="24" spans="1:3" x14ac:dyDescent="0.25">
      <c r="A24" s="1">
        <v>44231</v>
      </c>
      <c r="B24" s="2">
        <v>3384</v>
      </c>
      <c r="C24" s="4">
        <f>(GDX_data[[#This Row],[Último]]/B23)-1</f>
        <v>-2.2247905229702436E-2</v>
      </c>
    </row>
    <row r="25" spans="1:3" x14ac:dyDescent="0.25">
      <c r="A25" s="1">
        <v>44232</v>
      </c>
      <c r="B25" s="2">
        <v>3461</v>
      </c>
      <c r="C25" s="4">
        <f>(GDX_data[[#This Row],[Último]]/B24)-1</f>
        <v>2.275413711583929E-2</v>
      </c>
    </row>
    <row r="26" spans="1:3" x14ac:dyDescent="0.25">
      <c r="A26" s="1">
        <v>44235</v>
      </c>
      <c r="B26" s="2">
        <v>3522</v>
      </c>
      <c r="C26" s="4">
        <f>(GDX_data[[#This Row],[Último]]/B25)-1</f>
        <v>1.7624963883270839E-2</v>
      </c>
    </row>
    <row r="27" spans="1:3" x14ac:dyDescent="0.25">
      <c r="A27" s="1">
        <v>44236</v>
      </c>
      <c r="B27" s="2">
        <v>3518</v>
      </c>
      <c r="C27" s="4">
        <f>(GDX_data[[#This Row],[Último]]/B26)-1</f>
        <v>-1.1357183418512218E-3</v>
      </c>
    </row>
    <row r="28" spans="1:3" x14ac:dyDescent="0.25">
      <c r="A28" s="1">
        <v>44237</v>
      </c>
      <c r="B28" s="2">
        <v>3528</v>
      </c>
      <c r="C28" s="4">
        <f>(GDX_data[[#This Row],[Último]]/B27)-1</f>
        <v>2.842524161455362E-3</v>
      </c>
    </row>
    <row r="29" spans="1:3" x14ac:dyDescent="0.25">
      <c r="A29" s="1">
        <v>44238</v>
      </c>
      <c r="B29" s="2">
        <v>3481</v>
      </c>
      <c r="C29" s="4">
        <f>(GDX_data[[#This Row],[Último]]/B28)-1</f>
        <v>-1.3321995464852576E-2</v>
      </c>
    </row>
    <row r="30" spans="1:3" x14ac:dyDescent="0.25">
      <c r="A30" s="1">
        <v>44239</v>
      </c>
      <c r="B30" s="2">
        <v>3478</v>
      </c>
      <c r="C30" s="4">
        <f>(GDX_data[[#This Row],[Último]]/B29)-1</f>
        <v>-8.6182131571388432E-4</v>
      </c>
    </row>
    <row r="31" spans="1:3" x14ac:dyDescent="0.25">
      <c r="A31" s="1">
        <v>44243</v>
      </c>
      <c r="B31" s="2">
        <v>3409</v>
      </c>
      <c r="C31" s="4">
        <f>(GDX_data[[#This Row],[Último]]/B30)-1</f>
        <v>-1.9838987924094331E-2</v>
      </c>
    </row>
    <row r="32" spans="1:3" x14ac:dyDescent="0.25">
      <c r="A32" s="1">
        <v>44244</v>
      </c>
      <c r="B32" s="2">
        <v>3322</v>
      </c>
      <c r="C32" s="4">
        <f>(GDX_data[[#This Row],[Último]]/B31)-1</f>
        <v>-2.5520680551481378E-2</v>
      </c>
    </row>
    <row r="33" spans="1:3" x14ac:dyDescent="0.25">
      <c r="A33" s="1">
        <v>44245</v>
      </c>
      <c r="B33" s="2">
        <v>3279</v>
      </c>
      <c r="C33" s="4">
        <f>(GDX_data[[#This Row],[Último]]/B32)-1</f>
        <v>-1.294400963275133E-2</v>
      </c>
    </row>
    <row r="34" spans="1:3" x14ac:dyDescent="0.25">
      <c r="A34" s="1">
        <v>44246</v>
      </c>
      <c r="B34" s="2">
        <v>3274</v>
      </c>
      <c r="C34" s="4">
        <f>(GDX_data[[#This Row],[Último]]/B33)-1</f>
        <v>-1.5248551387617715E-3</v>
      </c>
    </row>
    <row r="35" spans="1:3" x14ac:dyDescent="0.25">
      <c r="A35" s="1">
        <v>44249</v>
      </c>
      <c r="B35" s="2">
        <v>3421</v>
      </c>
      <c r="C35" s="4">
        <f>(GDX_data[[#This Row],[Último]]/B34)-1</f>
        <v>4.4899205864386005E-2</v>
      </c>
    </row>
    <row r="36" spans="1:3" x14ac:dyDescent="0.25">
      <c r="A36" s="1">
        <v>44250</v>
      </c>
      <c r="B36" s="2">
        <v>3344</v>
      </c>
      <c r="C36" s="4">
        <f>(GDX_data[[#This Row],[Último]]/B35)-1</f>
        <v>-2.2508038585209E-2</v>
      </c>
    </row>
    <row r="37" spans="1:3" x14ac:dyDescent="0.25">
      <c r="A37" s="1">
        <v>44251</v>
      </c>
      <c r="B37" s="2">
        <v>3370</v>
      </c>
      <c r="C37" s="4">
        <f>(GDX_data[[#This Row],[Último]]/B36)-1</f>
        <v>7.7751196172248793E-3</v>
      </c>
    </row>
    <row r="38" spans="1:3" x14ac:dyDescent="0.25">
      <c r="A38" s="1">
        <v>44252</v>
      </c>
      <c r="B38" s="2">
        <v>3233</v>
      </c>
      <c r="C38" s="4">
        <f>(GDX_data[[#This Row],[Último]]/B37)-1</f>
        <v>-4.0652818991097961E-2</v>
      </c>
    </row>
    <row r="39" spans="1:3" x14ac:dyDescent="0.25">
      <c r="A39" s="1">
        <v>44253</v>
      </c>
      <c r="B39" s="2">
        <v>3113</v>
      </c>
      <c r="C39" s="4">
        <f>(GDX_data[[#This Row],[Último]]/B38)-1</f>
        <v>-3.7117228580266004E-2</v>
      </c>
    </row>
    <row r="40" spans="1:3" x14ac:dyDescent="0.25">
      <c r="A40" s="1">
        <v>44256</v>
      </c>
      <c r="B40" s="2">
        <v>3090</v>
      </c>
      <c r="C40" s="4">
        <f>(GDX_data[[#This Row],[Último]]/B39)-1</f>
        <v>-7.3883713459684808E-3</v>
      </c>
    </row>
    <row r="41" spans="1:3" x14ac:dyDescent="0.25">
      <c r="A41" s="1">
        <v>44257</v>
      </c>
      <c r="B41" s="2">
        <v>3196</v>
      </c>
      <c r="C41" s="4">
        <f>(GDX_data[[#This Row],[Último]]/B40)-1</f>
        <v>3.4304207119741026E-2</v>
      </c>
    </row>
    <row r="42" spans="1:3" x14ac:dyDescent="0.25">
      <c r="A42" s="1">
        <v>44258</v>
      </c>
      <c r="B42" s="2">
        <v>3135</v>
      </c>
      <c r="C42" s="4">
        <f>(GDX_data[[#This Row],[Último]]/B41)-1</f>
        <v>-1.9086357947434296E-2</v>
      </c>
    </row>
    <row r="43" spans="1:3" x14ac:dyDescent="0.25">
      <c r="A43" s="1">
        <v>44259</v>
      </c>
      <c r="B43" s="2">
        <v>3137</v>
      </c>
      <c r="C43" s="4">
        <f>(GDX_data[[#This Row],[Último]]/B42)-1</f>
        <v>6.3795853269543734E-4</v>
      </c>
    </row>
    <row r="44" spans="1:3" x14ac:dyDescent="0.25">
      <c r="A44" s="1">
        <v>44260</v>
      </c>
      <c r="B44" s="2">
        <v>3178</v>
      </c>
      <c r="C44" s="4">
        <f>(GDX_data[[#This Row],[Último]]/B43)-1</f>
        <v>1.3069811922218788E-2</v>
      </c>
    </row>
    <row r="45" spans="1:3" x14ac:dyDescent="0.25">
      <c r="A45" s="1">
        <v>44263</v>
      </c>
      <c r="B45" s="2">
        <v>3139</v>
      </c>
      <c r="C45" s="4">
        <f>(GDX_data[[#This Row],[Último]]/B44)-1</f>
        <v>-1.2271869100062949E-2</v>
      </c>
    </row>
    <row r="46" spans="1:3" x14ac:dyDescent="0.25">
      <c r="A46" s="1">
        <v>44264</v>
      </c>
      <c r="B46" s="2">
        <v>3230</v>
      </c>
      <c r="C46" s="4">
        <f>(GDX_data[[#This Row],[Último]]/B45)-1</f>
        <v>2.8990124243389648E-2</v>
      </c>
    </row>
    <row r="47" spans="1:3" x14ac:dyDescent="0.25">
      <c r="A47" s="1">
        <v>44265</v>
      </c>
      <c r="B47" s="2">
        <v>3243</v>
      </c>
      <c r="C47" s="4">
        <f>(GDX_data[[#This Row],[Último]]/B46)-1</f>
        <v>4.024767801857676E-3</v>
      </c>
    </row>
    <row r="48" spans="1:3" x14ac:dyDescent="0.25">
      <c r="A48" s="1">
        <v>44266</v>
      </c>
      <c r="B48" s="2">
        <v>3305</v>
      </c>
      <c r="C48" s="4">
        <f>(GDX_data[[#This Row],[Último]]/B47)-1</f>
        <v>1.9118100524206039E-2</v>
      </c>
    </row>
    <row r="49" spans="1:3" x14ac:dyDescent="0.25">
      <c r="A49" s="1">
        <v>44267</v>
      </c>
      <c r="B49" s="2">
        <v>3308</v>
      </c>
      <c r="C49" s="4">
        <f>(GDX_data[[#This Row],[Último]]/B48)-1</f>
        <v>9.0771558245084094E-4</v>
      </c>
    </row>
    <row r="50" spans="1:3" x14ac:dyDescent="0.25">
      <c r="A50" s="1">
        <v>44270</v>
      </c>
      <c r="B50" s="2">
        <v>3362</v>
      </c>
      <c r="C50" s="4">
        <f>(GDX_data[[#This Row],[Último]]/B49)-1</f>
        <v>1.6324062877871803E-2</v>
      </c>
    </row>
    <row r="51" spans="1:3" x14ac:dyDescent="0.25">
      <c r="A51" s="1">
        <v>44271</v>
      </c>
      <c r="B51" s="2">
        <v>3349</v>
      </c>
      <c r="C51" s="4">
        <f>(GDX_data[[#This Row],[Último]]/B50)-1</f>
        <v>-3.8667459845330709E-3</v>
      </c>
    </row>
    <row r="52" spans="1:3" x14ac:dyDescent="0.25">
      <c r="A52" s="1">
        <v>44272</v>
      </c>
      <c r="B52" s="2">
        <v>3421</v>
      </c>
      <c r="C52" s="4">
        <f>(GDX_data[[#This Row],[Último]]/B51)-1</f>
        <v>2.1498954911914003E-2</v>
      </c>
    </row>
    <row r="53" spans="1:3" x14ac:dyDescent="0.25">
      <c r="A53" s="1">
        <v>44273</v>
      </c>
      <c r="B53" s="2">
        <v>3362</v>
      </c>
      <c r="C53" s="4">
        <f>(GDX_data[[#This Row],[Último]]/B52)-1</f>
        <v>-1.7246419175679595E-2</v>
      </c>
    </row>
    <row r="54" spans="1:3" x14ac:dyDescent="0.25">
      <c r="A54" s="1">
        <v>44274</v>
      </c>
      <c r="B54" s="2">
        <v>3389</v>
      </c>
      <c r="C54" s="4">
        <f>(GDX_data[[#This Row],[Último]]/B53)-1</f>
        <v>8.0309339678763525E-3</v>
      </c>
    </row>
    <row r="55" spans="1:3" x14ac:dyDescent="0.25">
      <c r="A55" s="1">
        <v>44277</v>
      </c>
      <c r="B55" s="2">
        <v>3349</v>
      </c>
      <c r="C55" s="4">
        <f>(GDX_data[[#This Row],[Último]]/B54)-1</f>
        <v>-1.1802891708468599E-2</v>
      </c>
    </row>
    <row r="56" spans="1:3" x14ac:dyDescent="0.25">
      <c r="A56" s="1">
        <v>44278</v>
      </c>
      <c r="B56" s="2">
        <v>3264</v>
      </c>
      <c r="C56" s="4">
        <f>(GDX_data[[#This Row],[Último]]/B55)-1</f>
        <v>-2.5380710659898442E-2</v>
      </c>
    </row>
    <row r="57" spans="1:3" x14ac:dyDescent="0.25">
      <c r="A57" s="1">
        <v>44279</v>
      </c>
      <c r="B57" s="2">
        <v>3230</v>
      </c>
      <c r="C57" s="4">
        <f>(GDX_data[[#This Row],[Último]]/B56)-1</f>
        <v>-1.041666666666663E-2</v>
      </c>
    </row>
    <row r="58" spans="1:3" x14ac:dyDescent="0.25">
      <c r="A58" s="1">
        <v>44280</v>
      </c>
      <c r="B58" s="2">
        <v>3224</v>
      </c>
      <c r="C58" s="4">
        <f>(GDX_data[[#This Row],[Último]]/B57)-1</f>
        <v>-1.8575851393188847E-3</v>
      </c>
    </row>
    <row r="59" spans="1:3" x14ac:dyDescent="0.25">
      <c r="A59" s="1">
        <v>44281</v>
      </c>
      <c r="B59" s="2">
        <v>3277</v>
      </c>
      <c r="C59" s="4">
        <f>(GDX_data[[#This Row],[Último]]/B58)-1</f>
        <v>1.6439205955334879E-2</v>
      </c>
    </row>
    <row r="60" spans="1:3" x14ac:dyDescent="0.25">
      <c r="A60" s="1">
        <v>44284</v>
      </c>
      <c r="B60" s="2">
        <v>3286</v>
      </c>
      <c r="C60" s="4">
        <f>(GDX_data[[#This Row],[Último]]/B59)-1</f>
        <v>2.7464144034177185E-3</v>
      </c>
    </row>
    <row r="61" spans="1:3" x14ac:dyDescent="0.25">
      <c r="A61" s="1">
        <v>44285</v>
      </c>
      <c r="B61" s="2">
        <v>3183</v>
      </c>
      <c r="C61" s="4">
        <f>(GDX_data[[#This Row],[Último]]/B60)-1</f>
        <v>-3.1345100426049877E-2</v>
      </c>
    </row>
    <row r="62" spans="1:3" x14ac:dyDescent="0.25">
      <c r="A62" s="1">
        <v>44286</v>
      </c>
      <c r="B62" s="2">
        <v>3250</v>
      </c>
      <c r="C62" s="4">
        <f>(GDX_data[[#This Row],[Último]]/B61)-1</f>
        <v>2.10493245366008E-2</v>
      </c>
    </row>
    <row r="63" spans="1:3" x14ac:dyDescent="0.25">
      <c r="A63" s="1">
        <v>44287</v>
      </c>
      <c r="B63" s="2">
        <v>3360</v>
      </c>
      <c r="C63" s="4">
        <f>(GDX_data[[#This Row],[Último]]/B62)-1</f>
        <v>3.3846153846153859E-2</v>
      </c>
    </row>
    <row r="64" spans="1:3" x14ac:dyDescent="0.25">
      <c r="A64" s="1">
        <v>44291</v>
      </c>
      <c r="B64" s="2">
        <v>3371</v>
      </c>
      <c r="C64" s="4">
        <f>(GDX_data[[#This Row],[Último]]/B63)-1</f>
        <v>3.2738095238096232E-3</v>
      </c>
    </row>
    <row r="65" spans="1:3" x14ac:dyDescent="0.25">
      <c r="A65" s="1">
        <v>44292</v>
      </c>
      <c r="B65" s="2">
        <v>3428</v>
      </c>
      <c r="C65" s="4">
        <f>(GDX_data[[#This Row],[Último]]/B64)-1</f>
        <v>1.6908929101156822E-2</v>
      </c>
    </row>
    <row r="66" spans="1:3" x14ac:dyDescent="0.25">
      <c r="A66" s="1">
        <v>44293</v>
      </c>
      <c r="B66" s="2">
        <v>3393</v>
      </c>
      <c r="C66" s="4">
        <f>(GDX_data[[#This Row],[Último]]/B65)-1</f>
        <v>-1.0210035005834284E-2</v>
      </c>
    </row>
    <row r="67" spans="1:3" x14ac:dyDescent="0.25">
      <c r="A67" s="1">
        <v>44294</v>
      </c>
      <c r="B67" s="2">
        <v>3473</v>
      </c>
      <c r="C67" s="4">
        <f>(GDX_data[[#This Row],[Último]]/B66)-1</f>
        <v>2.357795461243728E-2</v>
      </c>
    </row>
    <row r="68" spans="1:3" x14ac:dyDescent="0.25">
      <c r="A68" s="1">
        <v>44295</v>
      </c>
      <c r="B68" s="2">
        <v>3473</v>
      </c>
      <c r="C68" s="4">
        <f>(GDX_data[[#This Row],[Último]]/B67)-1</f>
        <v>0</v>
      </c>
    </row>
    <row r="69" spans="1:3" x14ac:dyDescent="0.25">
      <c r="A69" s="1">
        <v>44298</v>
      </c>
      <c r="B69" s="2">
        <v>3396</v>
      </c>
      <c r="C69" s="4">
        <f>(GDX_data[[#This Row],[Último]]/B68)-1</f>
        <v>-2.2171033688453745E-2</v>
      </c>
    </row>
    <row r="70" spans="1:3" x14ac:dyDescent="0.25">
      <c r="A70" s="1">
        <v>44299</v>
      </c>
      <c r="B70" s="2">
        <v>3456</v>
      </c>
      <c r="C70" s="4">
        <f>(GDX_data[[#This Row],[Último]]/B69)-1</f>
        <v>1.7667844522968101E-2</v>
      </c>
    </row>
    <row r="71" spans="1:3" x14ac:dyDescent="0.25">
      <c r="A71" s="1">
        <v>44300</v>
      </c>
      <c r="B71" s="2">
        <v>3429</v>
      </c>
      <c r="C71" s="4">
        <f>(GDX_data[[#This Row],[Último]]/B70)-1</f>
        <v>-7.8125E-3</v>
      </c>
    </row>
    <row r="72" spans="1:3" x14ac:dyDescent="0.25">
      <c r="A72" s="1">
        <v>44301</v>
      </c>
      <c r="B72" s="2">
        <v>3571</v>
      </c>
      <c r="C72" s="4">
        <f>(GDX_data[[#This Row],[Último]]/B71)-1</f>
        <v>4.1411490230387926E-2</v>
      </c>
    </row>
    <row r="73" spans="1:3" x14ac:dyDescent="0.25">
      <c r="A73" s="1">
        <v>44302</v>
      </c>
      <c r="B73" s="2">
        <v>3603</v>
      </c>
      <c r="C73" s="4">
        <f>(GDX_data[[#This Row],[Último]]/B72)-1</f>
        <v>8.9610753290394474E-3</v>
      </c>
    </row>
    <row r="74" spans="1:3" x14ac:dyDescent="0.25">
      <c r="A74" s="1">
        <v>44305</v>
      </c>
      <c r="B74" s="2">
        <v>3579</v>
      </c>
      <c r="C74" s="4">
        <f>(GDX_data[[#This Row],[Último]]/B73)-1</f>
        <v>-6.6611157368858809E-3</v>
      </c>
    </row>
    <row r="75" spans="1:3" x14ac:dyDescent="0.25">
      <c r="A75" s="1">
        <v>44306</v>
      </c>
      <c r="B75" s="2">
        <v>3620</v>
      </c>
      <c r="C75" s="4">
        <f>(GDX_data[[#This Row],[Último]]/B74)-1</f>
        <v>1.1455713886560526E-2</v>
      </c>
    </row>
    <row r="76" spans="1:3" x14ac:dyDescent="0.25">
      <c r="A76" s="1">
        <v>44307</v>
      </c>
      <c r="B76" s="2">
        <v>3683</v>
      </c>
      <c r="C76" s="4">
        <f>(GDX_data[[#This Row],[Último]]/B75)-1</f>
        <v>1.74033149171271E-2</v>
      </c>
    </row>
    <row r="77" spans="1:3" x14ac:dyDescent="0.25">
      <c r="A77" s="1">
        <v>44308</v>
      </c>
      <c r="B77" s="2">
        <v>3618</v>
      </c>
      <c r="C77" s="4">
        <f>(GDX_data[[#This Row],[Último]]/B76)-1</f>
        <v>-1.7648655986967188E-2</v>
      </c>
    </row>
    <row r="78" spans="1:3" x14ac:dyDescent="0.25">
      <c r="A78" s="1">
        <v>44309</v>
      </c>
      <c r="B78" s="2">
        <v>3606</v>
      </c>
      <c r="C78" s="4">
        <f>(GDX_data[[#This Row],[Último]]/B77)-1</f>
        <v>-3.3167495854062867E-3</v>
      </c>
    </row>
    <row r="79" spans="1:3" x14ac:dyDescent="0.25">
      <c r="A79" s="1">
        <v>44312</v>
      </c>
      <c r="B79" s="2">
        <v>3598</v>
      </c>
      <c r="C79" s="4">
        <f>(GDX_data[[#This Row],[Último]]/B78)-1</f>
        <v>-2.2185246810870751E-3</v>
      </c>
    </row>
    <row r="80" spans="1:3" x14ac:dyDescent="0.25">
      <c r="A80" s="1">
        <v>44313</v>
      </c>
      <c r="B80" s="2">
        <v>3530</v>
      </c>
      <c r="C80" s="4">
        <f>(GDX_data[[#This Row],[Último]]/B79)-1</f>
        <v>-1.8899388549194041E-2</v>
      </c>
    </row>
    <row r="81" spans="1:3" x14ac:dyDescent="0.25">
      <c r="A81" s="1">
        <v>44314</v>
      </c>
      <c r="B81" s="2">
        <v>3545</v>
      </c>
      <c r="C81" s="4">
        <f>(GDX_data[[#This Row],[Último]]/B80)-1</f>
        <v>4.2492917847025691E-3</v>
      </c>
    </row>
    <row r="82" spans="1:3" x14ac:dyDescent="0.25">
      <c r="A82" s="1">
        <v>44315</v>
      </c>
      <c r="B82" s="2">
        <v>3477</v>
      </c>
      <c r="C82" s="4">
        <f>(GDX_data[[#This Row],[Último]]/B81)-1</f>
        <v>-1.9181946403384997E-2</v>
      </c>
    </row>
    <row r="83" spans="1:3" x14ac:dyDescent="0.25">
      <c r="A83" s="1">
        <v>44316</v>
      </c>
      <c r="B83" s="2">
        <v>3436</v>
      </c>
      <c r="C83" s="4">
        <f>(GDX_data[[#This Row],[Último]]/B82)-1</f>
        <v>-1.1791774518262854E-2</v>
      </c>
    </row>
    <row r="84" spans="1:3" x14ac:dyDescent="0.25">
      <c r="A84" s="1">
        <v>44319</v>
      </c>
      <c r="B84" s="2">
        <v>3568</v>
      </c>
      <c r="C84" s="4">
        <f>(GDX_data[[#This Row],[Último]]/B83)-1</f>
        <v>3.8416763678696064E-2</v>
      </c>
    </row>
    <row r="85" spans="1:3" x14ac:dyDescent="0.25">
      <c r="A85" s="1">
        <v>44320</v>
      </c>
      <c r="B85" s="2">
        <v>3531</v>
      </c>
      <c r="C85" s="4">
        <f>(GDX_data[[#This Row],[Último]]/B84)-1</f>
        <v>-1.0369955156950716E-2</v>
      </c>
    </row>
    <row r="86" spans="1:3" x14ac:dyDescent="0.25">
      <c r="A86" s="1">
        <v>44321</v>
      </c>
      <c r="B86" s="2">
        <v>3561</v>
      </c>
      <c r="C86" s="4">
        <f>(GDX_data[[#This Row],[Último]]/B85)-1</f>
        <v>8.4961767204758676E-3</v>
      </c>
    </row>
    <row r="87" spans="1:3" x14ac:dyDescent="0.25">
      <c r="A87" s="1">
        <v>44322</v>
      </c>
      <c r="B87" s="2">
        <v>3676</v>
      </c>
      <c r="C87" s="4">
        <f>(GDX_data[[#This Row],[Último]]/B86)-1</f>
        <v>3.2294299354113987E-2</v>
      </c>
    </row>
    <row r="88" spans="1:3" x14ac:dyDescent="0.25">
      <c r="A88" s="1">
        <v>44323</v>
      </c>
      <c r="B88" s="2">
        <v>3742</v>
      </c>
      <c r="C88" s="4">
        <f>(GDX_data[[#This Row],[Último]]/B87)-1</f>
        <v>1.795429815016325E-2</v>
      </c>
    </row>
    <row r="89" spans="1:3" x14ac:dyDescent="0.25">
      <c r="A89" s="1">
        <v>44326</v>
      </c>
      <c r="B89" s="2">
        <v>3738</v>
      </c>
      <c r="C89" s="4">
        <f>(GDX_data[[#This Row],[Último]]/B88)-1</f>
        <v>-1.068947087119243E-3</v>
      </c>
    </row>
    <row r="90" spans="1:3" x14ac:dyDescent="0.25">
      <c r="A90" s="1">
        <v>44327</v>
      </c>
      <c r="B90" s="2">
        <v>3764</v>
      </c>
      <c r="C90" s="4">
        <f>(GDX_data[[#This Row],[Último]]/B89)-1</f>
        <v>6.9555912252541319E-3</v>
      </c>
    </row>
    <row r="91" spans="1:3" x14ac:dyDescent="0.25">
      <c r="A91" s="1">
        <v>44328</v>
      </c>
      <c r="B91" s="2">
        <v>3686</v>
      </c>
      <c r="C91" s="4">
        <f>(GDX_data[[#This Row],[Último]]/B90)-1</f>
        <v>-2.0722635494155206E-2</v>
      </c>
    </row>
    <row r="92" spans="1:3" x14ac:dyDescent="0.25">
      <c r="A92" s="1">
        <v>44329</v>
      </c>
      <c r="B92" s="2">
        <v>3693</v>
      </c>
      <c r="C92" s="4">
        <f>(GDX_data[[#This Row],[Último]]/B91)-1</f>
        <v>1.8990775908844792E-3</v>
      </c>
    </row>
    <row r="93" spans="1:3" x14ac:dyDescent="0.25">
      <c r="A93" s="1">
        <v>44330</v>
      </c>
      <c r="B93" s="2">
        <v>3784</v>
      </c>
      <c r="C93" s="4">
        <f>(GDX_data[[#This Row],[Último]]/B92)-1</f>
        <v>2.464121310587597E-2</v>
      </c>
    </row>
    <row r="94" spans="1:3" x14ac:dyDescent="0.25">
      <c r="A94" s="1">
        <v>44333</v>
      </c>
      <c r="B94" s="2">
        <v>3968</v>
      </c>
      <c r="C94" s="4">
        <f>(GDX_data[[#This Row],[Último]]/B93)-1</f>
        <v>4.862579281183943E-2</v>
      </c>
    </row>
    <row r="95" spans="1:3" x14ac:dyDescent="0.25">
      <c r="A95" s="1">
        <v>44334</v>
      </c>
      <c r="B95" s="2">
        <v>3963</v>
      </c>
      <c r="C95" s="4">
        <f>(GDX_data[[#This Row],[Último]]/B94)-1</f>
        <v>-1.2600806451612545E-3</v>
      </c>
    </row>
    <row r="96" spans="1:3" x14ac:dyDescent="0.25">
      <c r="A96" s="1">
        <v>44335</v>
      </c>
      <c r="B96" s="2">
        <v>3904</v>
      </c>
      <c r="C96" s="4">
        <f>(GDX_data[[#This Row],[Último]]/B95)-1</f>
        <v>-1.4887711329800601E-2</v>
      </c>
    </row>
    <row r="97" spans="1:3" x14ac:dyDescent="0.25">
      <c r="A97" s="1">
        <v>44336</v>
      </c>
      <c r="B97" s="2">
        <v>3951</v>
      </c>
      <c r="C97" s="4">
        <f>(GDX_data[[#This Row],[Último]]/B96)-1</f>
        <v>1.2038934426229497E-2</v>
      </c>
    </row>
    <row r="98" spans="1:3" x14ac:dyDescent="0.25">
      <c r="A98" s="1">
        <v>44337</v>
      </c>
      <c r="B98" s="2">
        <v>3929</v>
      </c>
      <c r="C98" s="4">
        <f>(GDX_data[[#This Row],[Último]]/B97)-1</f>
        <v>-5.568210579600108E-3</v>
      </c>
    </row>
    <row r="99" spans="1:3" x14ac:dyDescent="0.25">
      <c r="A99" s="1">
        <v>44340</v>
      </c>
      <c r="B99" s="2">
        <v>3943</v>
      </c>
      <c r="C99" s="4">
        <f>(GDX_data[[#This Row],[Último]]/B98)-1</f>
        <v>3.5632476457114759E-3</v>
      </c>
    </row>
    <row r="100" spans="1:3" x14ac:dyDescent="0.25">
      <c r="A100" s="1">
        <v>44341</v>
      </c>
      <c r="B100" s="2">
        <v>3952</v>
      </c>
      <c r="C100" s="4">
        <f>(GDX_data[[#This Row],[Último]]/B99)-1</f>
        <v>2.2825259954348809E-3</v>
      </c>
    </row>
    <row r="101" spans="1:3" x14ac:dyDescent="0.25">
      <c r="A101" s="1">
        <v>44342</v>
      </c>
      <c r="B101" s="2">
        <v>3946</v>
      </c>
      <c r="C101" s="4">
        <f>(GDX_data[[#This Row],[Último]]/B100)-1</f>
        <v>-1.5182186234817818E-3</v>
      </c>
    </row>
    <row r="102" spans="1:3" x14ac:dyDescent="0.25">
      <c r="A102" s="1">
        <v>44343</v>
      </c>
      <c r="B102" s="2">
        <v>3921</v>
      </c>
      <c r="C102" s="4">
        <f>(GDX_data[[#This Row],[Último]]/B101)-1</f>
        <v>-6.3355296502787262E-3</v>
      </c>
    </row>
    <row r="103" spans="1:3" x14ac:dyDescent="0.25">
      <c r="A103" s="1">
        <v>44344</v>
      </c>
      <c r="B103" s="2">
        <v>3942</v>
      </c>
      <c r="C103" s="4">
        <f>(GDX_data[[#This Row],[Último]]/B102)-1</f>
        <v>5.35577658760511E-3</v>
      </c>
    </row>
    <row r="104" spans="1:3" x14ac:dyDescent="0.25">
      <c r="A104" s="1">
        <v>44348</v>
      </c>
      <c r="B104" s="2">
        <v>3949</v>
      </c>
      <c r="C104" s="4">
        <f>(GDX_data[[#This Row],[Último]]/B103)-1</f>
        <v>1.7757483510907335E-3</v>
      </c>
    </row>
    <row r="105" spans="1:3" x14ac:dyDescent="0.25">
      <c r="A105" s="1">
        <v>44349</v>
      </c>
      <c r="B105" s="2">
        <v>3954</v>
      </c>
      <c r="C105" s="4">
        <f>(GDX_data[[#This Row],[Último]]/B104)-1</f>
        <v>1.2661433274245848E-3</v>
      </c>
    </row>
    <row r="106" spans="1:3" x14ac:dyDescent="0.25">
      <c r="A106" s="1">
        <v>44350</v>
      </c>
      <c r="B106" s="2">
        <v>3817</v>
      </c>
      <c r="C106" s="4">
        <f>(GDX_data[[#This Row],[Último]]/B105)-1</f>
        <v>-3.4648457258472432E-2</v>
      </c>
    </row>
    <row r="107" spans="1:3" x14ac:dyDescent="0.25">
      <c r="A107" s="1">
        <v>44351</v>
      </c>
      <c r="B107" s="2">
        <v>3868</v>
      </c>
      <c r="C107" s="4">
        <f>(GDX_data[[#This Row],[Último]]/B106)-1</f>
        <v>1.3361278490961581E-2</v>
      </c>
    </row>
    <row r="108" spans="1:3" x14ac:dyDescent="0.25">
      <c r="A108" s="1">
        <v>44354</v>
      </c>
      <c r="B108" s="2">
        <v>3865</v>
      </c>
      <c r="C108" s="4">
        <f>(GDX_data[[#This Row],[Último]]/B107)-1</f>
        <v>-7.755946225439514E-4</v>
      </c>
    </row>
    <row r="109" spans="1:3" x14ac:dyDescent="0.25">
      <c r="A109" s="1">
        <v>44355</v>
      </c>
      <c r="B109" s="2">
        <v>3810</v>
      </c>
      <c r="C109" s="4">
        <f>(GDX_data[[#This Row],[Último]]/B108)-1</f>
        <v>-1.4230271668822736E-2</v>
      </c>
    </row>
    <row r="110" spans="1:3" x14ac:dyDescent="0.25">
      <c r="A110" s="1">
        <v>44356</v>
      </c>
      <c r="B110" s="2">
        <v>3800</v>
      </c>
      <c r="C110" s="4">
        <f>(GDX_data[[#This Row],[Último]]/B109)-1</f>
        <v>-2.624671916010457E-3</v>
      </c>
    </row>
    <row r="111" spans="1:3" x14ac:dyDescent="0.25">
      <c r="A111" s="1">
        <v>44357</v>
      </c>
      <c r="B111" s="2">
        <v>3895</v>
      </c>
      <c r="C111" s="4">
        <f>(GDX_data[[#This Row],[Último]]/B110)-1</f>
        <v>2.4999999999999911E-2</v>
      </c>
    </row>
    <row r="112" spans="1:3" x14ac:dyDescent="0.25">
      <c r="A112" s="1">
        <v>44358</v>
      </c>
      <c r="B112" s="2">
        <v>3828</v>
      </c>
      <c r="C112" s="4">
        <f>(GDX_data[[#This Row],[Último]]/B111)-1</f>
        <v>-1.7201540436456941E-2</v>
      </c>
    </row>
    <row r="113" spans="1:3" x14ac:dyDescent="0.25">
      <c r="A113" s="1">
        <v>44361</v>
      </c>
      <c r="B113" s="2">
        <v>3803</v>
      </c>
      <c r="C113" s="4">
        <f>(GDX_data[[#This Row],[Último]]/B112)-1</f>
        <v>-6.5308254963427625E-3</v>
      </c>
    </row>
    <row r="114" spans="1:3" x14ac:dyDescent="0.25">
      <c r="A114" s="1">
        <v>44362</v>
      </c>
      <c r="B114" s="2">
        <v>3759</v>
      </c>
      <c r="C114" s="4">
        <f>(GDX_data[[#This Row],[Último]]/B113)-1</f>
        <v>-1.1569813305285281E-2</v>
      </c>
    </row>
    <row r="115" spans="1:3" x14ac:dyDescent="0.25">
      <c r="A115" s="1">
        <v>44363</v>
      </c>
      <c r="B115" s="2">
        <v>3677</v>
      </c>
      <c r="C115" s="4">
        <f>(GDX_data[[#This Row],[Último]]/B114)-1</f>
        <v>-2.1814312317105622E-2</v>
      </c>
    </row>
    <row r="116" spans="1:3" x14ac:dyDescent="0.25">
      <c r="A116" s="1">
        <v>44364</v>
      </c>
      <c r="B116" s="2">
        <v>3493</v>
      </c>
      <c r="C116" s="4">
        <f>(GDX_data[[#This Row],[Último]]/B115)-1</f>
        <v>-5.0040794125645882E-2</v>
      </c>
    </row>
    <row r="117" spans="1:3" x14ac:dyDescent="0.25">
      <c r="A117" s="1">
        <v>44365</v>
      </c>
      <c r="B117" s="2">
        <v>3413</v>
      </c>
      <c r="C117" s="4">
        <f>(GDX_data[[#This Row],[Último]]/B116)-1</f>
        <v>-2.2902948754652153E-2</v>
      </c>
    </row>
    <row r="118" spans="1:3" x14ac:dyDescent="0.25">
      <c r="A118" s="1">
        <v>44368</v>
      </c>
      <c r="B118" s="2">
        <v>3477</v>
      </c>
      <c r="C118" s="4">
        <f>(GDX_data[[#This Row],[Último]]/B117)-1</f>
        <v>1.8751831233518867E-2</v>
      </c>
    </row>
    <row r="119" spans="1:3" x14ac:dyDescent="0.25">
      <c r="A119" s="1">
        <v>44369</v>
      </c>
      <c r="B119" s="2">
        <v>3455</v>
      </c>
      <c r="C119" s="4">
        <f>(GDX_data[[#This Row],[Último]]/B118)-1</f>
        <v>-6.3272936439459082E-3</v>
      </c>
    </row>
    <row r="120" spans="1:3" x14ac:dyDescent="0.25">
      <c r="A120" s="1">
        <v>44370</v>
      </c>
      <c r="B120" s="2">
        <v>3433</v>
      </c>
      <c r="C120" s="4">
        <f>(GDX_data[[#This Row],[Último]]/B119)-1</f>
        <v>-6.3675832127351173E-3</v>
      </c>
    </row>
    <row r="121" spans="1:3" x14ac:dyDescent="0.25">
      <c r="A121" s="1">
        <v>44371</v>
      </c>
      <c r="B121" s="2">
        <v>3444</v>
      </c>
      <c r="C121" s="4">
        <f>(GDX_data[[#This Row],[Último]]/B120)-1</f>
        <v>3.2041945819982764E-3</v>
      </c>
    </row>
    <row r="122" spans="1:3" x14ac:dyDescent="0.25">
      <c r="A122" s="1">
        <v>44372</v>
      </c>
      <c r="B122" s="2">
        <v>3436</v>
      </c>
      <c r="C122" s="4">
        <f>(GDX_data[[#This Row],[Último]]/B121)-1</f>
        <v>-2.3228803716608404E-3</v>
      </c>
    </row>
    <row r="123" spans="1:3" x14ac:dyDescent="0.25">
      <c r="A123" s="1">
        <v>44375</v>
      </c>
      <c r="B123" s="2">
        <v>3398</v>
      </c>
      <c r="C123" s="4">
        <f>(GDX_data[[#This Row],[Último]]/B122)-1</f>
        <v>-1.1059371362048931E-2</v>
      </c>
    </row>
    <row r="124" spans="1:3" x14ac:dyDescent="0.25">
      <c r="A124" s="1">
        <v>44376</v>
      </c>
      <c r="B124" s="2">
        <v>3364</v>
      </c>
      <c r="C124" s="4">
        <f>(GDX_data[[#This Row],[Último]]/B123)-1</f>
        <v>-1.0005885815185356E-2</v>
      </c>
    </row>
    <row r="125" spans="1:3" x14ac:dyDescent="0.25">
      <c r="A125" s="1">
        <v>44377</v>
      </c>
      <c r="B125" s="2">
        <v>3398</v>
      </c>
      <c r="C125" s="4">
        <f>(GDX_data[[#This Row],[Último]]/B124)-1</f>
        <v>1.0107015457788249E-2</v>
      </c>
    </row>
    <row r="126" spans="1:3" x14ac:dyDescent="0.25">
      <c r="A126" s="1">
        <v>44378</v>
      </c>
      <c r="B126" s="2">
        <v>3396</v>
      </c>
      <c r="C126" s="4">
        <f>(GDX_data[[#This Row],[Último]]/B125)-1</f>
        <v>-5.8858151854035423E-4</v>
      </c>
    </row>
    <row r="127" spans="1:3" x14ac:dyDescent="0.25">
      <c r="A127" s="1">
        <v>44379</v>
      </c>
      <c r="B127" s="2">
        <v>3442</v>
      </c>
      <c r="C127" s="4">
        <f>(GDX_data[[#This Row],[Último]]/B126)-1</f>
        <v>1.3545347467609048E-2</v>
      </c>
    </row>
    <row r="128" spans="1:3" x14ac:dyDescent="0.25">
      <c r="A128" s="1">
        <v>44380</v>
      </c>
      <c r="B128" s="2">
        <v>3442</v>
      </c>
      <c r="C128" s="4">
        <f>(GDX_data[[#This Row],[Último]]/B127)-1</f>
        <v>0</v>
      </c>
    </row>
    <row r="129" spans="1:3" x14ac:dyDescent="0.25">
      <c r="A129" s="1">
        <v>44381</v>
      </c>
      <c r="B129" s="2">
        <v>3442</v>
      </c>
      <c r="C129" s="4">
        <f>(GDX_data[[#This Row],[Último]]/B128)-1</f>
        <v>0</v>
      </c>
    </row>
    <row r="130" spans="1:3" x14ac:dyDescent="0.25">
      <c r="A130" s="1">
        <v>44382</v>
      </c>
      <c r="B130" s="2">
        <v>3442</v>
      </c>
      <c r="C130" s="4">
        <f>(GDX_data[[#This Row],[Último]]/B129)-1</f>
        <v>0</v>
      </c>
    </row>
    <row r="131" spans="1:3" x14ac:dyDescent="0.25">
      <c r="A131" s="1">
        <v>44383</v>
      </c>
      <c r="B131" s="2">
        <v>3452</v>
      </c>
      <c r="C131" s="4">
        <f>(GDX_data[[#This Row],[Último]]/B130)-1</f>
        <v>2.9052876234747504E-3</v>
      </c>
    </row>
    <row r="132" spans="1:3" x14ac:dyDescent="0.25">
      <c r="A132" s="1">
        <v>44384</v>
      </c>
      <c r="B132" s="2">
        <v>3456</v>
      </c>
      <c r="C132" s="4">
        <f>(GDX_data[[#This Row],[Último]]/B131)-1</f>
        <v>1.1587485515642815E-3</v>
      </c>
    </row>
    <row r="133" spans="1:3" x14ac:dyDescent="0.25">
      <c r="A133" s="1">
        <v>44385</v>
      </c>
      <c r="B133" s="2">
        <v>3368</v>
      </c>
      <c r="C133" s="4">
        <f>(GDX_data[[#This Row],[Último]]/B132)-1</f>
        <v>-2.546296296296291E-2</v>
      </c>
    </row>
    <row r="134" spans="1:3" x14ac:dyDescent="0.25">
      <c r="A134" s="1">
        <v>44386</v>
      </c>
      <c r="B134" s="2">
        <v>3437</v>
      </c>
      <c r="C134" s="4">
        <f>(GDX_data[[#This Row],[Último]]/B133)-1</f>
        <v>2.0486935866983469E-2</v>
      </c>
    </row>
    <row r="135" spans="1:3" x14ac:dyDescent="0.25">
      <c r="A135" s="1">
        <v>44389</v>
      </c>
      <c r="B135" s="2">
        <v>3389</v>
      </c>
      <c r="C135" s="4">
        <f>(GDX_data[[#This Row],[Último]]/B134)-1</f>
        <v>-1.3965667733488507E-2</v>
      </c>
    </row>
    <row r="136" spans="1:3" x14ac:dyDescent="0.25">
      <c r="A136" s="1">
        <v>44390</v>
      </c>
      <c r="B136" s="2">
        <v>3428</v>
      </c>
      <c r="C136" s="4">
        <f>(GDX_data[[#This Row],[Último]]/B135)-1</f>
        <v>1.1507819415756959E-2</v>
      </c>
    </row>
    <row r="137" spans="1:3" x14ac:dyDescent="0.25">
      <c r="A137" s="1">
        <v>44391</v>
      </c>
      <c r="B137" s="2">
        <v>3474</v>
      </c>
      <c r="C137" s="4">
        <f>(GDX_data[[#This Row],[Último]]/B136)-1</f>
        <v>1.3418903150525185E-2</v>
      </c>
    </row>
    <row r="138" spans="1:3" x14ac:dyDescent="0.25">
      <c r="A138" s="1">
        <v>44392</v>
      </c>
      <c r="B138" s="2">
        <v>3497</v>
      </c>
      <c r="C138" s="4">
        <f>(GDX_data[[#This Row],[Último]]/B137)-1</f>
        <v>6.6206102475532269E-3</v>
      </c>
    </row>
    <row r="139" spans="1:3" x14ac:dyDescent="0.25">
      <c r="A139" s="1">
        <v>44393</v>
      </c>
      <c r="B139" s="2">
        <v>3392</v>
      </c>
      <c r="C139" s="4">
        <f>(GDX_data[[#This Row],[Último]]/B138)-1</f>
        <v>-3.0025736345438925E-2</v>
      </c>
    </row>
    <row r="140" spans="1:3" x14ac:dyDescent="0.25">
      <c r="A140" s="1">
        <v>44396</v>
      </c>
      <c r="B140" s="2">
        <v>3319</v>
      </c>
      <c r="C140" s="4">
        <f>(GDX_data[[#This Row],[Último]]/B139)-1</f>
        <v>-2.1521226415094352E-2</v>
      </c>
    </row>
    <row r="141" spans="1:3" x14ac:dyDescent="0.25">
      <c r="A141" s="1">
        <v>44397</v>
      </c>
      <c r="B141" s="2">
        <v>3330</v>
      </c>
      <c r="C141" s="4">
        <f>(GDX_data[[#This Row],[Último]]/B140)-1</f>
        <v>3.3142512805062196E-3</v>
      </c>
    </row>
    <row r="142" spans="1:3" x14ac:dyDescent="0.25">
      <c r="A142" s="1">
        <v>44398</v>
      </c>
      <c r="B142" s="2">
        <v>3362</v>
      </c>
      <c r="C142" s="4">
        <f>(GDX_data[[#This Row],[Último]]/B141)-1</f>
        <v>9.6096096096096595E-3</v>
      </c>
    </row>
    <row r="143" spans="1:3" x14ac:dyDescent="0.25">
      <c r="A143" s="1">
        <v>44399</v>
      </c>
      <c r="B143" s="2">
        <v>3341</v>
      </c>
      <c r="C143" s="4">
        <f>(GDX_data[[#This Row],[Último]]/B142)-1</f>
        <v>-6.2462819750148668E-3</v>
      </c>
    </row>
    <row r="144" spans="1:3" x14ac:dyDescent="0.25">
      <c r="A144" s="1">
        <v>44400</v>
      </c>
      <c r="B144" s="2">
        <v>3315</v>
      </c>
      <c r="C144" s="4">
        <f>(GDX_data[[#This Row],[Último]]/B143)-1</f>
        <v>-7.7821011673151474E-3</v>
      </c>
    </row>
    <row r="145" spans="1:3" x14ac:dyDescent="0.25">
      <c r="A145" s="1">
        <v>44403</v>
      </c>
      <c r="B145" s="2">
        <v>3350</v>
      </c>
      <c r="C145" s="4">
        <f>(GDX_data[[#This Row],[Último]]/B144)-1</f>
        <v>1.0558069381598756E-2</v>
      </c>
    </row>
    <row r="146" spans="1:3" x14ac:dyDescent="0.25">
      <c r="A146" s="1">
        <v>44404</v>
      </c>
      <c r="B146" s="2">
        <v>3368</v>
      </c>
      <c r="C146" s="4">
        <f>(GDX_data[[#This Row],[Último]]/B145)-1</f>
        <v>5.3731343283582866E-3</v>
      </c>
    </row>
    <row r="147" spans="1:3" x14ac:dyDescent="0.25">
      <c r="A147" s="1">
        <v>44405</v>
      </c>
      <c r="B147" s="2">
        <v>3419</v>
      </c>
      <c r="C147" s="4">
        <f>(GDX_data[[#This Row],[Último]]/B146)-1</f>
        <v>1.5142517814726864E-2</v>
      </c>
    </row>
    <row r="148" spans="1:3" x14ac:dyDescent="0.25">
      <c r="A148" s="1">
        <v>44406</v>
      </c>
      <c r="B148" s="2">
        <v>3507</v>
      </c>
      <c r="C148" s="4">
        <f>(GDX_data[[#This Row],[Último]]/B147)-1</f>
        <v>2.5738520035097912E-2</v>
      </c>
    </row>
    <row r="149" spans="1:3" x14ac:dyDescent="0.25">
      <c r="A149" s="1">
        <v>44407</v>
      </c>
      <c r="B149" s="2">
        <v>3492</v>
      </c>
      <c r="C149" s="4">
        <f>(GDX_data[[#This Row],[Último]]/B148)-1</f>
        <v>-4.2771599657827064E-3</v>
      </c>
    </row>
    <row r="150" spans="1:3" x14ac:dyDescent="0.25">
      <c r="A150" s="1">
        <v>44410</v>
      </c>
      <c r="B150" s="2">
        <v>3478</v>
      </c>
      <c r="C150" s="4">
        <f>(GDX_data[[#This Row],[Último]]/B149)-1</f>
        <v>-4.0091638029782217E-3</v>
      </c>
    </row>
    <row r="151" spans="1:3" x14ac:dyDescent="0.25">
      <c r="A151" s="1">
        <v>44411</v>
      </c>
      <c r="B151" s="2">
        <v>3509</v>
      </c>
      <c r="C151" s="4">
        <f>(GDX_data[[#This Row],[Último]]/B150)-1</f>
        <v>8.9131684876366801E-3</v>
      </c>
    </row>
    <row r="152" spans="1:3" x14ac:dyDescent="0.25">
      <c r="A152" s="1">
        <v>44412</v>
      </c>
      <c r="B152" s="2">
        <v>3478</v>
      </c>
      <c r="C152" s="4">
        <f>(GDX_data[[#This Row],[Último]]/B151)-1</f>
        <v>-8.8344257623254041E-3</v>
      </c>
    </row>
    <row r="153" spans="1:3" x14ac:dyDescent="0.25">
      <c r="A153" s="1">
        <v>44413</v>
      </c>
      <c r="B153" s="2">
        <v>3426</v>
      </c>
      <c r="C153" s="4">
        <f>(GDX_data[[#This Row],[Último]]/B152)-1</f>
        <v>-1.4951121334100037E-2</v>
      </c>
    </row>
    <row r="154" spans="1:3" x14ac:dyDescent="0.25">
      <c r="A154" s="1">
        <v>44414</v>
      </c>
      <c r="B154" s="2">
        <v>3324</v>
      </c>
      <c r="C154" s="4">
        <f>(GDX_data[[#This Row],[Último]]/B153)-1</f>
        <v>-2.9772329246935181E-2</v>
      </c>
    </row>
    <row r="155" spans="1:3" x14ac:dyDescent="0.25">
      <c r="A155" s="1">
        <v>44415</v>
      </c>
      <c r="B155" s="2">
        <v>3324</v>
      </c>
      <c r="C155" s="4">
        <f>(GDX_data[[#This Row],[Último]]/B154)-1</f>
        <v>0</v>
      </c>
    </row>
    <row r="156" spans="1:3" x14ac:dyDescent="0.25">
      <c r="A156" s="1">
        <v>44416</v>
      </c>
      <c r="B156" s="2">
        <v>3324</v>
      </c>
      <c r="C156" s="4">
        <f>(GDX_data[[#This Row],[Último]]/B155)-1</f>
        <v>0</v>
      </c>
    </row>
    <row r="157" spans="1:3" x14ac:dyDescent="0.25">
      <c r="A157" s="1">
        <v>44417</v>
      </c>
      <c r="B157" s="2">
        <v>3243</v>
      </c>
      <c r="C157" s="4">
        <f>(GDX_data[[#This Row],[Último]]/B156)-1</f>
        <v>-2.4368231046931421E-2</v>
      </c>
    </row>
    <row r="158" spans="1:3" x14ac:dyDescent="0.25">
      <c r="A158" s="1">
        <v>44418</v>
      </c>
      <c r="B158" s="2">
        <v>3202</v>
      </c>
      <c r="C158" s="4">
        <f>(GDX_data[[#This Row],[Último]]/B157)-1</f>
        <v>-1.2642614862781398E-2</v>
      </c>
    </row>
    <row r="159" spans="1:3" x14ac:dyDescent="0.25">
      <c r="A159" s="1">
        <v>44419</v>
      </c>
      <c r="B159" s="2">
        <v>3266</v>
      </c>
      <c r="C159" s="4">
        <f>(GDX_data[[#This Row],[Último]]/B158)-1</f>
        <v>1.9987507807620153E-2</v>
      </c>
    </row>
    <row r="160" spans="1:3" x14ac:dyDescent="0.25">
      <c r="A160" s="1">
        <v>44420</v>
      </c>
      <c r="B160" s="2">
        <v>3216</v>
      </c>
      <c r="C160" s="4">
        <f>(GDX_data[[#This Row],[Último]]/B159)-1</f>
        <v>-1.5309246785058184E-2</v>
      </c>
    </row>
    <row r="161" spans="1:3" x14ac:dyDescent="0.25">
      <c r="A161" s="1">
        <v>44421</v>
      </c>
      <c r="B161" s="2">
        <v>3282</v>
      </c>
      <c r="C161" s="4">
        <f>(GDX_data[[#This Row],[Último]]/B160)-1</f>
        <v>2.0522388059701413E-2</v>
      </c>
    </row>
    <row r="162" spans="1:3" x14ac:dyDescent="0.25">
      <c r="A162" s="1">
        <v>44424</v>
      </c>
      <c r="B162" s="2">
        <v>3264</v>
      </c>
      <c r="C162" s="4">
        <f>(GDX_data[[#This Row],[Último]]/B161)-1</f>
        <v>-5.4844606946983232E-3</v>
      </c>
    </row>
    <row r="163" spans="1:3" x14ac:dyDescent="0.25">
      <c r="A163" s="1">
        <v>44425</v>
      </c>
      <c r="B163" s="2">
        <v>3225</v>
      </c>
      <c r="C163" s="4">
        <f>(GDX_data[[#This Row],[Último]]/B162)-1</f>
        <v>-1.1948529411764719E-2</v>
      </c>
    </row>
    <row r="164" spans="1:3" x14ac:dyDescent="0.25">
      <c r="A164" s="1">
        <v>44426</v>
      </c>
      <c r="B164" s="2">
        <v>3149</v>
      </c>
      <c r="C164" s="4">
        <f>(GDX_data[[#This Row],[Último]]/B163)-1</f>
        <v>-2.356589147286825E-2</v>
      </c>
    </row>
    <row r="165" spans="1:3" x14ac:dyDescent="0.25">
      <c r="A165" s="1">
        <v>44427</v>
      </c>
      <c r="B165" s="2">
        <v>3096</v>
      </c>
      <c r="C165" s="4">
        <f>(GDX_data[[#This Row],[Último]]/B164)-1</f>
        <v>-1.6830739917434112E-2</v>
      </c>
    </row>
    <row r="166" spans="1:3" x14ac:dyDescent="0.25">
      <c r="A166" s="1">
        <v>44428</v>
      </c>
      <c r="B166" s="2">
        <v>3085</v>
      </c>
      <c r="C166" s="4">
        <f>(GDX_data[[#This Row],[Último]]/B165)-1</f>
        <v>-3.5529715762273595E-3</v>
      </c>
    </row>
    <row r="167" spans="1:3" x14ac:dyDescent="0.25">
      <c r="A167" s="1">
        <v>44431</v>
      </c>
      <c r="B167" s="2">
        <v>3212</v>
      </c>
      <c r="C167" s="4">
        <f>(GDX_data[[#This Row],[Último]]/B166)-1</f>
        <v>4.1166936790923758E-2</v>
      </c>
    </row>
    <row r="168" spans="1:3" x14ac:dyDescent="0.25">
      <c r="A168" s="1">
        <v>44432</v>
      </c>
      <c r="B168" s="2">
        <v>3211</v>
      </c>
      <c r="C168" s="4">
        <f>(GDX_data[[#This Row],[Último]]/B167)-1</f>
        <v>-3.1133250311332628E-4</v>
      </c>
    </row>
    <row r="169" spans="1:3" x14ac:dyDescent="0.25">
      <c r="A169" s="1">
        <v>44433</v>
      </c>
      <c r="B169" s="2">
        <v>3168</v>
      </c>
      <c r="C169" s="4">
        <f>(GDX_data[[#This Row],[Último]]/B168)-1</f>
        <v>-1.3391466832762378E-2</v>
      </c>
    </row>
    <row r="170" spans="1:3" x14ac:dyDescent="0.25">
      <c r="A170" s="1">
        <v>44434</v>
      </c>
      <c r="B170" s="2">
        <v>3148</v>
      </c>
      <c r="C170" s="4">
        <f>(GDX_data[[#This Row],[Último]]/B169)-1</f>
        <v>-6.3131313131312705E-3</v>
      </c>
    </row>
    <row r="171" spans="1:3" x14ac:dyDescent="0.25">
      <c r="A171" s="1">
        <v>44435</v>
      </c>
      <c r="B171" s="2">
        <v>3261</v>
      </c>
      <c r="C171" s="4">
        <f>(GDX_data[[#This Row],[Último]]/B170)-1</f>
        <v>3.5895806861499402E-2</v>
      </c>
    </row>
    <row r="172" spans="1:3" x14ac:dyDescent="0.25">
      <c r="A172" s="1">
        <v>44438</v>
      </c>
      <c r="B172" s="2">
        <v>3217</v>
      </c>
      <c r="C172" s="4">
        <f>(GDX_data[[#This Row],[Último]]/B171)-1</f>
        <v>-1.3492793621588506E-2</v>
      </c>
    </row>
    <row r="173" spans="1:3" x14ac:dyDescent="0.25">
      <c r="A173" s="1">
        <v>44439</v>
      </c>
      <c r="B173" s="2">
        <v>3260</v>
      </c>
      <c r="C173" s="4">
        <f>(GDX_data[[#This Row],[Último]]/B172)-1</f>
        <v>1.3366490519117091E-2</v>
      </c>
    </row>
    <row r="174" spans="1:3" x14ac:dyDescent="0.25">
      <c r="A174" s="1">
        <v>44440</v>
      </c>
      <c r="B174" s="2">
        <v>3238</v>
      </c>
      <c r="C174" s="4">
        <f>(GDX_data[[#This Row],[Último]]/B173)-1</f>
        <v>-6.7484662576686727E-3</v>
      </c>
    </row>
    <row r="175" spans="1:3" x14ac:dyDescent="0.25">
      <c r="A175" s="1">
        <v>44441</v>
      </c>
      <c r="B175" s="2">
        <v>3250</v>
      </c>
      <c r="C175" s="4">
        <f>(GDX_data[[#This Row],[Último]]/B174)-1</f>
        <v>3.7059913526868993E-3</v>
      </c>
    </row>
    <row r="176" spans="1:3" x14ac:dyDescent="0.25">
      <c r="A176" s="1">
        <v>44442</v>
      </c>
      <c r="B176" s="2">
        <v>3328</v>
      </c>
      <c r="C176" s="4">
        <f>(GDX_data[[#This Row],[Último]]/B175)-1</f>
        <v>2.4000000000000021E-2</v>
      </c>
    </row>
    <row r="177" spans="1:3" x14ac:dyDescent="0.25">
      <c r="A177" s="1">
        <v>44446</v>
      </c>
      <c r="B177" s="2">
        <v>3235</v>
      </c>
      <c r="C177" s="4">
        <f>(GDX_data[[#This Row],[Último]]/B176)-1</f>
        <v>-2.7944711538461564E-2</v>
      </c>
    </row>
    <row r="178" spans="1:3" x14ac:dyDescent="0.25">
      <c r="A178" s="1">
        <v>44447</v>
      </c>
      <c r="B178" s="2">
        <v>3219</v>
      </c>
      <c r="C178" s="4">
        <f>(GDX_data[[#This Row],[Último]]/B177)-1</f>
        <v>-4.9459041731066966E-3</v>
      </c>
    </row>
    <row r="179" spans="1:3" x14ac:dyDescent="0.25">
      <c r="A179" s="1">
        <v>44448</v>
      </c>
      <c r="B179" s="2">
        <v>3196</v>
      </c>
      <c r="C179" s="4">
        <f>(GDX_data[[#This Row],[Último]]/B178)-1</f>
        <v>-7.1450761105933402E-3</v>
      </c>
    </row>
    <row r="180" spans="1:3" x14ac:dyDescent="0.25">
      <c r="A180" s="1">
        <v>44449</v>
      </c>
      <c r="B180" s="2">
        <v>3150</v>
      </c>
      <c r="C180" s="4">
        <f>(GDX_data[[#This Row],[Último]]/B179)-1</f>
        <v>-1.4392991239048802E-2</v>
      </c>
    </row>
    <row r="181" spans="1:3" x14ac:dyDescent="0.25">
      <c r="A181" s="1">
        <v>44452</v>
      </c>
      <c r="B181" s="2">
        <v>3211</v>
      </c>
      <c r="C181" s="4">
        <f>(GDX_data[[#This Row],[Último]]/B180)-1</f>
        <v>1.9365079365079474E-2</v>
      </c>
    </row>
    <row r="182" spans="1:3" x14ac:dyDescent="0.25">
      <c r="A182" s="1">
        <v>44453</v>
      </c>
      <c r="B182" s="2">
        <v>3227</v>
      </c>
      <c r="C182" s="4">
        <f>(GDX_data[[#This Row],[Último]]/B181)-1</f>
        <v>4.9828713796324919E-3</v>
      </c>
    </row>
    <row r="183" spans="1:3" x14ac:dyDescent="0.25">
      <c r="A183" s="1">
        <v>44454</v>
      </c>
      <c r="B183" s="2">
        <v>3226</v>
      </c>
      <c r="C183" s="4">
        <f>(GDX_data[[#This Row],[Último]]/B182)-1</f>
        <v>-3.0988534242326615E-4</v>
      </c>
    </row>
    <row r="184" spans="1:3" x14ac:dyDescent="0.25">
      <c r="A184" s="1">
        <v>44455</v>
      </c>
      <c r="B184" s="2">
        <v>3092</v>
      </c>
      <c r="C184" s="4">
        <f>(GDX_data[[#This Row],[Último]]/B183)-1</f>
        <v>-4.1537507749535019E-2</v>
      </c>
    </row>
    <row r="185" spans="1:3" x14ac:dyDescent="0.25">
      <c r="A185" s="1">
        <v>44456</v>
      </c>
      <c r="B185" s="2">
        <v>3058</v>
      </c>
      <c r="C185" s="4">
        <f>(GDX_data[[#This Row],[Último]]/B184)-1</f>
        <v>-1.0996119016817629E-2</v>
      </c>
    </row>
    <row r="186" spans="1:3" x14ac:dyDescent="0.25">
      <c r="A186" s="1">
        <v>44459</v>
      </c>
      <c r="B186" s="2">
        <v>3045</v>
      </c>
      <c r="C186" s="4">
        <f>(GDX_data[[#This Row],[Último]]/B185)-1</f>
        <v>-4.2511445389142866E-3</v>
      </c>
    </row>
    <row r="187" spans="1:3" x14ac:dyDescent="0.25">
      <c r="A187" s="1">
        <v>44460</v>
      </c>
      <c r="B187" s="2">
        <v>3047</v>
      </c>
      <c r="C187" s="4">
        <f>(GDX_data[[#This Row],[Último]]/B186)-1</f>
        <v>6.568144499179418E-4</v>
      </c>
    </row>
    <row r="188" spans="1:3" x14ac:dyDescent="0.25">
      <c r="A188" s="1">
        <v>44461</v>
      </c>
      <c r="B188" s="2">
        <v>3050</v>
      </c>
      <c r="C188" s="4">
        <f>(GDX_data[[#This Row],[Último]]/B187)-1</f>
        <v>9.8457499179516184E-4</v>
      </c>
    </row>
    <row r="189" spans="1:3" x14ac:dyDescent="0.25">
      <c r="A189" s="1">
        <v>44462</v>
      </c>
      <c r="B189" s="2">
        <v>2989</v>
      </c>
      <c r="C189" s="4">
        <f>(GDX_data[[#This Row],[Último]]/B188)-1</f>
        <v>-2.0000000000000018E-2</v>
      </c>
    </row>
    <row r="190" spans="1:3" x14ac:dyDescent="0.25">
      <c r="A190" s="1">
        <v>44463</v>
      </c>
      <c r="B190" s="2">
        <v>2968</v>
      </c>
      <c r="C190" s="4">
        <f>(GDX_data[[#This Row],[Último]]/B189)-1</f>
        <v>-7.0257611241217877E-3</v>
      </c>
    </row>
    <row r="191" spans="1:3" x14ac:dyDescent="0.25">
      <c r="A191" s="1">
        <v>44466</v>
      </c>
      <c r="B191" s="2">
        <v>2968</v>
      </c>
      <c r="C191" s="4">
        <f>(GDX_data[[#This Row],[Último]]/B190)-1</f>
        <v>0</v>
      </c>
    </row>
    <row r="192" spans="1:3" x14ac:dyDescent="0.25">
      <c r="A192" s="1">
        <v>44467</v>
      </c>
      <c r="B192" s="2">
        <v>2937</v>
      </c>
      <c r="C192" s="4">
        <f>(GDX_data[[#This Row],[Último]]/B191)-1</f>
        <v>-1.0444743935309919E-2</v>
      </c>
    </row>
    <row r="193" spans="1:3" x14ac:dyDescent="0.25">
      <c r="A193" s="1">
        <v>44468</v>
      </c>
      <c r="B193" s="2">
        <v>2891</v>
      </c>
      <c r="C193" s="4">
        <f>(GDX_data[[#This Row],[Último]]/B192)-1</f>
        <v>-1.5662240381341452E-2</v>
      </c>
    </row>
    <row r="194" spans="1:3" x14ac:dyDescent="0.25">
      <c r="A194" s="1">
        <v>44469</v>
      </c>
      <c r="B194" s="2">
        <v>2947</v>
      </c>
      <c r="C194" s="4">
        <f>(GDX_data[[#This Row],[Último]]/B193)-1</f>
        <v>1.937046004842613E-2</v>
      </c>
    </row>
    <row r="195" spans="1:3" x14ac:dyDescent="0.25">
      <c r="A195" s="1">
        <v>44470</v>
      </c>
      <c r="B195" s="2">
        <v>2933</v>
      </c>
      <c r="C195" s="4">
        <f>(GDX_data[[#This Row],[Último]]/B194)-1</f>
        <v>-4.7505938242280443E-3</v>
      </c>
    </row>
    <row r="196" spans="1:3" x14ac:dyDescent="0.25">
      <c r="A196" s="1">
        <v>44473</v>
      </c>
      <c r="B196" s="2">
        <v>2967</v>
      </c>
      <c r="C196" s="4">
        <f>(GDX_data[[#This Row],[Último]]/B195)-1</f>
        <v>1.1592226389362414E-2</v>
      </c>
    </row>
    <row r="197" spans="1:3" x14ac:dyDescent="0.25">
      <c r="A197" s="1">
        <v>44474</v>
      </c>
      <c r="B197" s="2">
        <v>2978</v>
      </c>
      <c r="C197" s="4">
        <f>(GDX_data[[#This Row],[Último]]/B196)-1</f>
        <v>3.707448601280694E-3</v>
      </c>
    </row>
    <row r="198" spans="1:3" x14ac:dyDescent="0.25">
      <c r="A198" s="1">
        <v>44475</v>
      </c>
      <c r="B198" s="2">
        <v>3034</v>
      </c>
      <c r="C198" s="4">
        <f>(GDX_data[[#This Row],[Último]]/B197)-1</f>
        <v>1.8804566823371394E-2</v>
      </c>
    </row>
    <row r="199" spans="1:3" x14ac:dyDescent="0.25">
      <c r="A199" s="1">
        <v>44476</v>
      </c>
      <c r="B199" s="2">
        <v>3040</v>
      </c>
      <c r="C199" s="4">
        <f>(GDX_data[[#This Row],[Último]]/B198)-1</f>
        <v>1.9775873434411118E-3</v>
      </c>
    </row>
    <row r="200" spans="1:3" x14ac:dyDescent="0.25">
      <c r="A200" s="1">
        <v>44477</v>
      </c>
      <c r="B200" s="2">
        <v>3067</v>
      </c>
      <c r="C200" s="4">
        <f>(GDX_data[[#This Row],[Último]]/B199)-1</f>
        <v>8.881578947368407E-3</v>
      </c>
    </row>
    <row r="201" spans="1:3" x14ac:dyDescent="0.25">
      <c r="A201" s="1">
        <v>44480</v>
      </c>
      <c r="B201" s="2">
        <v>3058</v>
      </c>
      <c r="C201" s="4">
        <f>(GDX_data[[#This Row],[Último]]/B200)-1</f>
        <v>-2.934463645255958E-3</v>
      </c>
    </row>
    <row r="202" spans="1:3" x14ac:dyDescent="0.25">
      <c r="A202" s="1">
        <v>44481</v>
      </c>
      <c r="B202" s="2">
        <v>3114</v>
      </c>
      <c r="C202" s="4">
        <f>(GDX_data[[#This Row],[Último]]/B201)-1</f>
        <v>1.8312622629169439E-2</v>
      </c>
    </row>
    <row r="203" spans="1:3" x14ac:dyDescent="0.25">
      <c r="A203" s="1">
        <v>44482</v>
      </c>
      <c r="B203" s="2">
        <v>3215</v>
      </c>
      <c r="C203" s="4">
        <f>(GDX_data[[#This Row],[Último]]/B202)-1</f>
        <v>3.2434168272318598E-2</v>
      </c>
    </row>
    <row r="204" spans="1:3" x14ac:dyDescent="0.25">
      <c r="A204" s="1">
        <v>44483</v>
      </c>
      <c r="B204" s="2">
        <v>3285</v>
      </c>
      <c r="C204" s="4">
        <f>(GDX_data[[#This Row],[Último]]/B203)-1</f>
        <v>2.1772939346811793E-2</v>
      </c>
    </row>
    <row r="205" spans="1:3" x14ac:dyDescent="0.25">
      <c r="A205" s="1">
        <v>44484</v>
      </c>
      <c r="B205" s="2">
        <v>3252</v>
      </c>
      <c r="C205" s="4">
        <f>(GDX_data[[#This Row],[Último]]/B204)-1</f>
        <v>-1.0045662100456654E-2</v>
      </c>
    </row>
    <row r="206" spans="1:3" x14ac:dyDescent="0.25">
      <c r="A206" s="1">
        <v>44487</v>
      </c>
      <c r="B206" s="2">
        <v>3222</v>
      </c>
      <c r="C206" s="4">
        <f>(GDX_data[[#This Row],[Último]]/B205)-1</f>
        <v>-9.2250922509224953E-3</v>
      </c>
    </row>
    <row r="207" spans="1:3" x14ac:dyDescent="0.25">
      <c r="A207" s="1">
        <v>44488</v>
      </c>
      <c r="B207" s="2">
        <v>3250</v>
      </c>
      <c r="C207" s="4">
        <f>(GDX_data[[#This Row],[Último]]/B206)-1</f>
        <v>8.6902545003104681E-3</v>
      </c>
    </row>
    <row r="208" spans="1:3" x14ac:dyDescent="0.25">
      <c r="A208" s="1">
        <v>44489</v>
      </c>
      <c r="B208" s="2">
        <v>3286</v>
      </c>
      <c r="C208" s="4">
        <f>(GDX_data[[#This Row],[Último]]/B207)-1</f>
        <v>1.1076923076922984E-2</v>
      </c>
    </row>
    <row r="209" spans="1:3" x14ac:dyDescent="0.25">
      <c r="A209" s="1">
        <v>44490</v>
      </c>
      <c r="B209" s="2">
        <v>3273</v>
      </c>
      <c r="C209" s="4">
        <f>(GDX_data[[#This Row],[Último]]/B208)-1</f>
        <v>-3.9561777236761797E-3</v>
      </c>
    </row>
    <row r="210" spans="1:3" x14ac:dyDescent="0.25">
      <c r="A210" s="1">
        <v>44491</v>
      </c>
      <c r="B210" s="2">
        <v>3299</v>
      </c>
      <c r="C210" s="4">
        <f>(GDX_data[[#This Row],[Último]]/B209)-1</f>
        <v>7.9437824625725462E-3</v>
      </c>
    </row>
    <row r="211" spans="1:3" x14ac:dyDescent="0.25">
      <c r="A211" s="1">
        <v>44494</v>
      </c>
      <c r="B211" s="2">
        <v>3345</v>
      </c>
      <c r="C211" s="4">
        <f>(GDX_data[[#This Row],[Último]]/B210)-1</f>
        <v>1.3943619278569352E-2</v>
      </c>
    </row>
    <row r="212" spans="1:3" x14ac:dyDescent="0.25">
      <c r="A212" s="1">
        <v>44495</v>
      </c>
      <c r="B212" s="2">
        <v>3325</v>
      </c>
      <c r="C212" s="4">
        <f>(GDX_data[[#This Row],[Último]]/B211)-1</f>
        <v>-5.9790732436472149E-3</v>
      </c>
    </row>
    <row r="213" spans="1:3" x14ac:dyDescent="0.25">
      <c r="A213" s="1">
        <v>44496</v>
      </c>
      <c r="B213" s="2">
        <v>3310</v>
      </c>
      <c r="C213" s="4">
        <f>(GDX_data[[#This Row],[Último]]/B212)-1</f>
        <v>-4.5112781954886882E-3</v>
      </c>
    </row>
    <row r="214" spans="1:3" x14ac:dyDescent="0.25">
      <c r="A214" s="1">
        <v>44497</v>
      </c>
      <c r="B214" s="2">
        <v>3259</v>
      </c>
      <c r="C214" s="4">
        <f>(GDX_data[[#This Row],[Último]]/B213)-1</f>
        <v>-1.5407854984894276E-2</v>
      </c>
    </row>
    <row r="215" spans="1:3" x14ac:dyDescent="0.25">
      <c r="A215" s="1">
        <v>44498</v>
      </c>
      <c r="B215" s="2">
        <v>3171</v>
      </c>
      <c r="C215" s="4">
        <f>(GDX_data[[#This Row],[Último]]/B214)-1</f>
        <v>-2.700214789812827E-2</v>
      </c>
    </row>
    <row r="216" spans="1:3" x14ac:dyDescent="0.25">
      <c r="A216" s="1">
        <v>44501</v>
      </c>
      <c r="B216" s="2">
        <v>3186</v>
      </c>
      <c r="C216" s="4">
        <f>(GDX_data[[#This Row],[Último]]/B215)-1</f>
        <v>4.7303689687796524E-3</v>
      </c>
    </row>
    <row r="217" spans="1:3" x14ac:dyDescent="0.25">
      <c r="A217" s="1">
        <v>44502</v>
      </c>
      <c r="B217" s="2">
        <v>3153</v>
      </c>
      <c r="C217" s="4">
        <f>(GDX_data[[#This Row],[Último]]/B216)-1</f>
        <v>-1.0357815442561202E-2</v>
      </c>
    </row>
    <row r="218" spans="1:3" x14ac:dyDescent="0.25">
      <c r="A218" s="1">
        <v>44503</v>
      </c>
      <c r="B218" s="2">
        <v>3186</v>
      </c>
      <c r="C218" s="4">
        <f>(GDX_data[[#This Row],[Último]]/B217)-1</f>
        <v>1.0466222645099998E-2</v>
      </c>
    </row>
    <row r="219" spans="1:3" x14ac:dyDescent="0.25">
      <c r="A219" s="1">
        <v>44504</v>
      </c>
      <c r="B219" s="2">
        <v>3175</v>
      </c>
      <c r="C219" s="4">
        <f>(GDX_data[[#This Row],[Último]]/B218)-1</f>
        <v>-3.4526051475204378E-3</v>
      </c>
    </row>
    <row r="220" spans="1:3" x14ac:dyDescent="0.25">
      <c r="A220" s="1">
        <v>44505</v>
      </c>
      <c r="B220" s="2">
        <v>3275</v>
      </c>
      <c r="C220" s="4">
        <f>(GDX_data[[#This Row],[Último]]/B219)-1</f>
        <v>3.1496062992125928E-2</v>
      </c>
    </row>
    <row r="221" spans="1:3" x14ac:dyDescent="0.25">
      <c r="A221" s="1">
        <v>44508</v>
      </c>
      <c r="B221" s="2">
        <v>3290</v>
      </c>
      <c r="C221" s="4">
        <f>(GDX_data[[#This Row],[Último]]/B220)-1</f>
        <v>4.5801526717557106E-3</v>
      </c>
    </row>
    <row r="222" spans="1:3" x14ac:dyDescent="0.25">
      <c r="A222" s="1">
        <v>44509</v>
      </c>
      <c r="B222" s="2">
        <v>3332</v>
      </c>
      <c r="C222" s="4">
        <f>(GDX_data[[#This Row],[Último]]/B221)-1</f>
        <v>1.2765957446808418E-2</v>
      </c>
    </row>
    <row r="223" spans="1:3" x14ac:dyDescent="0.25">
      <c r="A223" s="1">
        <v>44510</v>
      </c>
      <c r="B223" s="2">
        <v>3391</v>
      </c>
      <c r="C223" s="4">
        <f>(GDX_data[[#This Row],[Último]]/B222)-1</f>
        <v>1.7707082833133159E-2</v>
      </c>
    </row>
    <row r="224" spans="1:3" x14ac:dyDescent="0.25">
      <c r="A224" s="1">
        <v>44511</v>
      </c>
      <c r="B224" s="2">
        <v>3470</v>
      </c>
      <c r="C224" s="4">
        <f>(GDX_data[[#This Row],[Último]]/B223)-1</f>
        <v>2.3296962547920907E-2</v>
      </c>
    </row>
    <row r="225" spans="1:3" x14ac:dyDescent="0.25">
      <c r="A225" s="1">
        <v>44512</v>
      </c>
      <c r="B225" s="2">
        <v>3477</v>
      </c>
      <c r="C225" s="4">
        <f>(GDX_data[[#This Row],[Último]]/B224)-1</f>
        <v>2.0172910662823451E-3</v>
      </c>
    </row>
    <row r="226" spans="1:3" x14ac:dyDescent="0.25">
      <c r="A226" s="1">
        <v>44515</v>
      </c>
      <c r="B226" s="2">
        <v>3490</v>
      </c>
      <c r="C226" s="4">
        <f>(GDX_data[[#This Row],[Último]]/B225)-1</f>
        <v>3.7388553350590215E-3</v>
      </c>
    </row>
    <row r="227" spans="1:3" x14ac:dyDescent="0.25">
      <c r="A227" s="1">
        <v>44516</v>
      </c>
      <c r="B227" s="2">
        <v>3429</v>
      </c>
      <c r="C227" s="4">
        <f>(GDX_data[[#This Row],[Último]]/B226)-1</f>
        <v>-1.7478510028653305E-2</v>
      </c>
    </row>
    <row r="228" spans="1:3" x14ac:dyDescent="0.25">
      <c r="A228" s="1">
        <v>44517</v>
      </c>
      <c r="B228" s="2">
        <v>3456</v>
      </c>
      <c r="C228" s="4">
        <f>(GDX_data[[#This Row],[Último]]/B227)-1</f>
        <v>7.8740157480314821E-3</v>
      </c>
    </row>
    <row r="229" spans="1:3" x14ac:dyDescent="0.25">
      <c r="A229" s="1">
        <v>44518</v>
      </c>
      <c r="B229" s="2">
        <v>3424</v>
      </c>
      <c r="C229" s="4">
        <f>(GDX_data[[#This Row],[Último]]/B228)-1</f>
        <v>-9.2592592592593004E-3</v>
      </c>
    </row>
    <row r="230" spans="1:3" x14ac:dyDescent="0.25">
      <c r="A230" s="1">
        <v>44519</v>
      </c>
      <c r="B230" s="2">
        <v>3367</v>
      </c>
      <c r="C230" s="4">
        <f>(GDX_data[[#This Row],[Último]]/B229)-1</f>
        <v>-1.6647196261682207E-2</v>
      </c>
    </row>
    <row r="231" spans="1:3" x14ac:dyDescent="0.25">
      <c r="A231" s="1">
        <v>44522</v>
      </c>
      <c r="B231" s="2">
        <v>3300</v>
      </c>
      <c r="C231" s="4">
        <f>(GDX_data[[#This Row],[Último]]/B230)-1</f>
        <v>-1.9899019899019876E-2</v>
      </c>
    </row>
    <row r="232" spans="1:3" x14ac:dyDescent="0.25">
      <c r="A232" s="1">
        <v>44523</v>
      </c>
      <c r="B232" s="2">
        <v>3250</v>
      </c>
      <c r="C232" s="4">
        <f>(GDX_data[[#This Row],[Último]]/B231)-1</f>
        <v>-1.5151515151515138E-2</v>
      </c>
    </row>
    <row r="233" spans="1:3" x14ac:dyDescent="0.25">
      <c r="A233" s="1">
        <v>44524</v>
      </c>
      <c r="B233" s="2">
        <v>3242</v>
      </c>
      <c r="C233" s="4">
        <f>(GDX_data[[#This Row],[Último]]/B232)-1</f>
        <v>-2.461538461538515E-3</v>
      </c>
    </row>
    <row r="234" spans="1:3" x14ac:dyDescent="0.25">
      <c r="A234" s="1">
        <v>44526</v>
      </c>
      <c r="B234" s="2">
        <v>3212</v>
      </c>
      <c r="C234" s="4">
        <f>(GDX_data[[#This Row],[Último]]/B233)-1</f>
        <v>-9.2535471930906832E-3</v>
      </c>
    </row>
    <row r="235" spans="1:3" x14ac:dyDescent="0.25">
      <c r="A235" s="1">
        <v>44529</v>
      </c>
      <c r="B235" s="2">
        <v>3213</v>
      </c>
      <c r="C235" s="4">
        <f>(GDX_data[[#This Row],[Último]]/B234)-1</f>
        <v>3.1133250311321525E-4</v>
      </c>
    </row>
    <row r="236" spans="1:3" x14ac:dyDescent="0.25">
      <c r="A236" s="1">
        <v>44530</v>
      </c>
      <c r="B236" s="2">
        <v>3180</v>
      </c>
      <c r="C236" s="4">
        <f>(GDX_data[[#This Row],[Último]]/B235)-1</f>
        <v>-1.0270774976657293E-2</v>
      </c>
    </row>
    <row r="237" spans="1:3" x14ac:dyDescent="0.25">
      <c r="A237" s="1">
        <v>44531</v>
      </c>
      <c r="B237" s="2">
        <v>3083</v>
      </c>
      <c r="C237" s="4">
        <f>(GDX_data[[#This Row],[Último]]/B236)-1</f>
        <v>-3.0503144654088099E-2</v>
      </c>
    </row>
    <row r="238" spans="1:3" x14ac:dyDescent="0.25">
      <c r="A238" s="1">
        <v>44532</v>
      </c>
      <c r="B238" s="2">
        <v>3046</v>
      </c>
      <c r="C238" s="4">
        <f>(GDX_data[[#This Row],[Último]]/B237)-1</f>
        <v>-1.2001297437560843E-2</v>
      </c>
    </row>
    <row r="239" spans="1:3" x14ac:dyDescent="0.25">
      <c r="A239" s="1">
        <v>44533</v>
      </c>
      <c r="B239" s="2">
        <v>3069</v>
      </c>
      <c r="C239" s="4">
        <f>(GDX_data[[#This Row],[Último]]/B238)-1</f>
        <v>7.5508864084044003E-3</v>
      </c>
    </row>
    <row r="240" spans="1:3" x14ac:dyDescent="0.25">
      <c r="A240" s="1">
        <v>44536</v>
      </c>
      <c r="B240" s="2">
        <v>3112</v>
      </c>
      <c r="C240" s="4">
        <f>(GDX_data[[#This Row],[Último]]/B239)-1</f>
        <v>1.4011078527207621E-2</v>
      </c>
    </row>
    <row r="241" spans="1:3" x14ac:dyDescent="0.25">
      <c r="A241" s="1">
        <v>44537</v>
      </c>
      <c r="B241" s="2">
        <v>3134</v>
      </c>
      <c r="C241" s="4">
        <f>(GDX_data[[#This Row],[Último]]/B240)-1</f>
        <v>7.0694087403599948E-3</v>
      </c>
    </row>
    <row r="242" spans="1:3" x14ac:dyDescent="0.25">
      <c r="A242" s="1">
        <v>44538</v>
      </c>
      <c r="B242" s="2">
        <v>3149</v>
      </c>
      <c r="C242" s="4">
        <f>(GDX_data[[#This Row],[Último]]/B241)-1</f>
        <v>4.7862156987874549E-3</v>
      </c>
    </row>
    <row r="243" spans="1:3" x14ac:dyDescent="0.25">
      <c r="A243" s="1">
        <v>44539</v>
      </c>
      <c r="B243" s="2">
        <v>3068</v>
      </c>
      <c r="C243" s="4">
        <f>(GDX_data[[#This Row],[Último]]/B242)-1</f>
        <v>-2.5722451571927651E-2</v>
      </c>
    </row>
    <row r="244" spans="1:3" x14ac:dyDescent="0.25">
      <c r="A244" s="1">
        <v>44540</v>
      </c>
      <c r="B244" s="2">
        <v>3049</v>
      </c>
      <c r="C244" s="4">
        <f>(GDX_data[[#This Row],[Último]]/B243)-1</f>
        <v>-6.1929595827900918E-3</v>
      </c>
    </row>
    <row r="245" spans="1:3" x14ac:dyDescent="0.25">
      <c r="A245" s="1">
        <v>44543</v>
      </c>
      <c r="B245" s="2">
        <v>3051</v>
      </c>
      <c r="C245" s="4">
        <f>(GDX_data[[#This Row],[Último]]/B244)-1</f>
        <v>6.5595277140051422E-4</v>
      </c>
    </row>
    <row r="246" spans="1:3" x14ac:dyDescent="0.25">
      <c r="A246" s="1">
        <v>44544</v>
      </c>
      <c r="B246" s="2">
        <v>3011</v>
      </c>
      <c r="C246" s="4">
        <f>(GDX_data[[#This Row],[Último]]/B245)-1</f>
        <v>-1.3110455588331682E-2</v>
      </c>
    </row>
    <row r="247" spans="1:3" x14ac:dyDescent="0.25">
      <c r="A247" s="1">
        <v>44545</v>
      </c>
      <c r="B247" s="2">
        <v>2970</v>
      </c>
      <c r="C247" s="4">
        <f>(GDX_data[[#This Row],[Último]]/B246)-1</f>
        <v>-1.3616738625041536E-2</v>
      </c>
    </row>
    <row r="248" spans="1:3" x14ac:dyDescent="0.25">
      <c r="A248" s="1">
        <v>44546</v>
      </c>
      <c r="B248" s="2">
        <v>3119</v>
      </c>
      <c r="C248" s="4">
        <f>(GDX_data[[#This Row],[Último]]/B247)-1</f>
        <v>5.0168350168350084E-2</v>
      </c>
    </row>
    <row r="249" spans="1:3" x14ac:dyDescent="0.25">
      <c r="A249" s="1">
        <v>44547</v>
      </c>
      <c r="B249" s="2">
        <v>3113</v>
      </c>
      <c r="C249" s="4">
        <f>(GDX_data[[#This Row],[Último]]/B248)-1</f>
        <v>-1.9236934915036752E-3</v>
      </c>
    </row>
    <row r="250" spans="1:3" x14ac:dyDescent="0.25">
      <c r="A250" s="1">
        <v>44550</v>
      </c>
      <c r="B250" s="2">
        <v>3059</v>
      </c>
      <c r="C250" s="4">
        <f>(GDX_data[[#This Row],[Último]]/B249)-1</f>
        <v>-1.734661098618695E-2</v>
      </c>
    </row>
    <row r="251" spans="1:3" x14ac:dyDescent="0.25">
      <c r="A251" s="1">
        <v>44551</v>
      </c>
      <c r="B251" s="2">
        <v>3082</v>
      </c>
      <c r="C251" s="4">
        <f>(GDX_data[[#This Row],[Último]]/B250)-1</f>
        <v>7.5187969924812581E-3</v>
      </c>
    </row>
    <row r="252" spans="1:3" x14ac:dyDescent="0.25">
      <c r="A252" s="1">
        <v>44552</v>
      </c>
      <c r="B252" s="2">
        <v>3116</v>
      </c>
      <c r="C252" s="4">
        <f>(GDX_data[[#This Row],[Último]]/B251)-1</f>
        <v>1.1031797534068799E-2</v>
      </c>
    </row>
    <row r="253" spans="1:3" x14ac:dyDescent="0.25">
      <c r="A253" s="1">
        <v>44553</v>
      </c>
      <c r="B253" s="2">
        <v>3130</v>
      </c>
      <c r="C253" s="4">
        <f>(GDX_data[[#This Row],[Último]]/B252)-1</f>
        <v>4.49293966623876E-3</v>
      </c>
    </row>
    <row r="254" spans="1:3" x14ac:dyDescent="0.25">
      <c r="A254" s="1">
        <v>44557</v>
      </c>
      <c r="B254" s="2">
        <v>3133</v>
      </c>
      <c r="C254" s="4">
        <f>(GDX_data[[#This Row],[Último]]/B253)-1</f>
        <v>9.5846645367414496E-4</v>
      </c>
    </row>
    <row r="255" spans="1:3" x14ac:dyDescent="0.25">
      <c r="A255" s="1">
        <v>44558</v>
      </c>
      <c r="B255" s="2">
        <v>3109</v>
      </c>
      <c r="C255" s="4">
        <f>(GDX_data[[#This Row],[Último]]/B254)-1</f>
        <v>-7.6603894031279651E-3</v>
      </c>
    </row>
    <row r="256" spans="1:3" x14ac:dyDescent="0.25">
      <c r="A256" s="1">
        <v>44559</v>
      </c>
      <c r="B256" s="2">
        <v>3122</v>
      </c>
      <c r="C256" s="4">
        <f>(GDX_data[[#This Row],[Último]]/B255)-1</f>
        <v>4.181408813123122E-3</v>
      </c>
    </row>
    <row r="257" spans="1:3" x14ac:dyDescent="0.25">
      <c r="A257" s="1">
        <v>44560</v>
      </c>
      <c r="B257" s="2">
        <v>3178</v>
      </c>
      <c r="C257" s="4">
        <f>(GDX_data[[#This Row],[Último]]/B256)-1</f>
        <v>1.7937219730941756E-2</v>
      </c>
    </row>
    <row r="258" spans="1:3" x14ac:dyDescent="0.25">
      <c r="A258" s="1">
        <v>44561</v>
      </c>
      <c r="B258" s="2">
        <v>3203</v>
      </c>
      <c r="C258" s="4">
        <f>(GDX_data[[#This Row],[Último]]/B257)-1</f>
        <v>7.8665827564505797E-3</v>
      </c>
    </row>
    <row r="259" spans="1:3" x14ac:dyDescent="0.25">
      <c r="A259" s="1">
        <v>44564</v>
      </c>
      <c r="B259" s="2">
        <v>3125</v>
      </c>
      <c r="C259" s="4">
        <f>(GDX_data[[#This Row],[Último]]/B258)-1</f>
        <v>-2.4352169840774263E-2</v>
      </c>
    </row>
    <row r="260" spans="1:3" x14ac:dyDescent="0.25">
      <c r="A260" s="1">
        <v>44565</v>
      </c>
      <c r="B260" s="2">
        <v>3138</v>
      </c>
      <c r="C260" s="4">
        <f>(GDX_data[[#This Row],[Último]]/B259)-1</f>
        <v>4.1599999999999415E-3</v>
      </c>
    </row>
    <row r="261" spans="1:3" x14ac:dyDescent="0.25">
      <c r="A261" s="1">
        <v>44566</v>
      </c>
      <c r="B261" s="2">
        <v>3085</v>
      </c>
      <c r="C261" s="4">
        <f>(GDX_data[[#This Row],[Último]]/B260)-1</f>
        <v>-1.6889738687061784E-2</v>
      </c>
    </row>
    <row r="262" spans="1:3" x14ac:dyDescent="0.25">
      <c r="A262" s="1">
        <v>44567</v>
      </c>
      <c r="B262" s="2">
        <v>2976</v>
      </c>
      <c r="C262" s="4">
        <f>(GDX_data[[#This Row],[Último]]/B261)-1</f>
        <v>-3.5332252836304701E-2</v>
      </c>
    </row>
    <row r="263" spans="1:3" x14ac:dyDescent="0.25">
      <c r="A263" s="1">
        <v>44568</v>
      </c>
      <c r="B263" s="2">
        <v>3001</v>
      </c>
      <c r="C263" s="4">
        <f>(GDX_data[[#This Row],[Último]]/B262)-1</f>
        <v>8.4005376344085114E-3</v>
      </c>
    </row>
    <row r="264" spans="1:3" x14ac:dyDescent="0.25">
      <c r="A264" s="1">
        <v>44571</v>
      </c>
      <c r="B264" s="2">
        <v>3051</v>
      </c>
      <c r="C264" s="4">
        <f>(GDX_data[[#This Row],[Último]]/B263)-1</f>
        <v>1.6661112962345959E-2</v>
      </c>
    </row>
    <row r="265" spans="1:3" x14ac:dyDescent="0.25">
      <c r="A265" s="1">
        <v>44572</v>
      </c>
      <c r="B265" s="2">
        <v>3114</v>
      </c>
      <c r="C265" s="4">
        <f>(GDX_data[[#This Row],[Último]]/B264)-1</f>
        <v>2.0648967551622377E-2</v>
      </c>
    </row>
    <row r="266" spans="1:3" x14ac:dyDescent="0.25">
      <c r="A266" s="1">
        <v>44573</v>
      </c>
      <c r="B266" s="2">
        <v>3171</v>
      </c>
      <c r="C266" s="4">
        <f>(GDX_data[[#This Row],[Último]]/B265)-1</f>
        <v>1.8304431599229343E-2</v>
      </c>
    </row>
    <row r="267" spans="1:3" x14ac:dyDescent="0.25">
      <c r="A267" s="1">
        <v>44574</v>
      </c>
      <c r="B267" s="2">
        <v>3124</v>
      </c>
      <c r="C267" s="4">
        <f>(GDX_data[[#This Row],[Último]]/B266)-1</f>
        <v>-1.4821822768842585E-2</v>
      </c>
    </row>
    <row r="268" spans="1:3" x14ac:dyDescent="0.25">
      <c r="A268" s="1">
        <v>44575</v>
      </c>
      <c r="B268" s="2">
        <v>3097</v>
      </c>
      <c r="C268" s="4">
        <f>(GDX_data[[#This Row],[Último]]/B267)-1</f>
        <v>-8.6427656850192047E-3</v>
      </c>
    </row>
    <row r="269" spans="1:3" x14ac:dyDescent="0.25">
      <c r="A269" s="1">
        <v>44579</v>
      </c>
      <c r="B269" s="2">
        <v>3060</v>
      </c>
      <c r="C269" s="4">
        <f>(GDX_data[[#This Row],[Último]]/B268)-1</f>
        <v>-1.1947045527930245E-2</v>
      </c>
    </row>
    <row r="270" spans="1:3" x14ac:dyDescent="0.25">
      <c r="A270" s="1">
        <v>44580</v>
      </c>
      <c r="B270" s="2">
        <v>3279</v>
      </c>
      <c r="C270" s="4">
        <f>(GDX_data[[#This Row],[Último]]/B269)-1</f>
        <v>7.156862745098036E-2</v>
      </c>
    </row>
    <row r="271" spans="1:3" x14ac:dyDescent="0.25">
      <c r="A271" s="1">
        <v>44581</v>
      </c>
      <c r="B271" s="2">
        <v>3233</v>
      </c>
      <c r="C271" s="4">
        <f>(GDX_data[[#This Row],[Último]]/B270)-1</f>
        <v>-1.4028667276608675E-2</v>
      </c>
    </row>
    <row r="272" spans="1:3" x14ac:dyDescent="0.25">
      <c r="A272" s="1">
        <v>44582</v>
      </c>
      <c r="B272" s="2">
        <v>3165</v>
      </c>
      <c r="C272" s="4">
        <f>(GDX_data[[#This Row],[Último]]/B271)-1</f>
        <v>-2.1033096195484102E-2</v>
      </c>
    </row>
    <row r="273" spans="1:3" x14ac:dyDescent="0.25">
      <c r="A273" s="1">
        <v>44585</v>
      </c>
      <c r="B273" s="2">
        <v>3145</v>
      </c>
      <c r="C273" s="4">
        <f>(GDX_data[[#This Row],[Último]]/B272)-1</f>
        <v>-6.3191153238546516E-3</v>
      </c>
    </row>
    <row r="274" spans="1:3" x14ac:dyDescent="0.25">
      <c r="A274" s="1">
        <v>44586</v>
      </c>
      <c r="B274" s="2">
        <v>3166</v>
      </c>
      <c r="C274" s="4">
        <f>(GDX_data[[#This Row],[Último]]/B273)-1</f>
        <v>6.6772655007949488E-3</v>
      </c>
    </row>
    <row r="275" spans="1:3" x14ac:dyDescent="0.25">
      <c r="A275" s="1">
        <v>44587</v>
      </c>
      <c r="B275" s="2">
        <v>3063</v>
      </c>
      <c r="C275" s="4">
        <f>(GDX_data[[#This Row],[Último]]/B274)-1</f>
        <v>-3.2533164876816123E-2</v>
      </c>
    </row>
    <row r="276" spans="1:3" x14ac:dyDescent="0.25">
      <c r="A276" s="1">
        <v>44588</v>
      </c>
      <c r="B276" s="2">
        <v>2968</v>
      </c>
      <c r="C276" s="4">
        <f>(GDX_data[[#This Row],[Último]]/B275)-1</f>
        <v>-3.1015344433561909E-2</v>
      </c>
    </row>
    <row r="277" spans="1:3" x14ac:dyDescent="0.25">
      <c r="A277" s="1">
        <v>44589</v>
      </c>
      <c r="B277" s="2">
        <v>2930</v>
      </c>
      <c r="C277" s="4">
        <f>(GDX_data[[#This Row],[Último]]/B276)-1</f>
        <v>-1.2803234501347682E-2</v>
      </c>
    </row>
    <row r="278" spans="1:3" x14ac:dyDescent="0.25">
      <c r="A278" s="1">
        <v>44592</v>
      </c>
      <c r="B278" s="2">
        <v>3023</v>
      </c>
      <c r="C278" s="4">
        <f>(GDX_data[[#This Row],[Último]]/B277)-1</f>
        <v>3.1740614334470951E-2</v>
      </c>
    </row>
    <row r="279" spans="1:3" x14ac:dyDescent="0.25">
      <c r="A279" s="1">
        <v>44593</v>
      </c>
      <c r="B279" s="2">
        <v>3053</v>
      </c>
      <c r="C279" s="4">
        <f>(GDX_data[[#This Row],[Último]]/B278)-1</f>
        <v>9.9239166391003053E-3</v>
      </c>
    </row>
    <row r="280" spans="1:3" x14ac:dyDescent="0.25">
      <c r="A280" s="1">
        <v>44594</v>
      </c>
      <c r="B280" s="2">
        <v>3063</v>
      </c>
      <c r="C280" s="4">
        <f>(GDX_data[[#This Row],[Último]]/B279)-1</f>
        <v>3.2754667540124682E-3</v>
      </c>
    </row>
    <row r="281" spans="1:3" x14ac:dyDescent="0.25">
      <c r="A281" s="1">
        <v>44595</v>
      </c>
      <c r="B281" s="2">
        <v>3025</v>
      </c>
      <c r="C281" s="4">
        <f>(GDX_data[[#This Row],[Último]]/B280)-1</f>
        <v>-1.2406137773424697E-2</v>
      </c>
    </row>
    <row r="282" spans="1:3" x14ac:dyDescent="0.25">
      <c r="A282" s="1">
        <v>44596</v>
      </c>
      <c r="B282" s="2">
        <v>3040</v>
      </c>
      <c r="C282" s="4">
        <f>(GDX_data[[#This Row],[Último]]/B281)-1</f>
        <v>4.9586776859504855E-3</v>
      </c>
    </row>
    <row r="283" spans="1:3" x14ac:dyDescent="0.25">
      <c r="A283" s="1">
        <v>44599</v>
      </c>
      <c r="B283" s="2">
        <v>3130</v>
      </c>
      <c r="C283" s="4">
        <f>(GDX_data[[#This Row],[Último]]/B282)-1</f>
        <v>2.960526315789469E-2</v>
      </c>
    </row>
    <row r="284" spans="1:3" x14ac:dyDescent="0.25">
      <c r="A284" s="1">
        <v>44600</v>
      </c>
      <c r="B284" s="2">
        <v>3165</v>
      </c>
      <c r="C284" s="4">
        <f>(GDX_data[[#This Row],[Último]]/B283)-1</f>
        <v>1.1182108626198062E-2</v>
      </c>
    </row>
    <row r="285" spans="1:3" x14ac:dyDescent="0.25">
      <c r="A285" s="1">
        <v>44601</v>
      </c>
      <c r="B285" s="2">
        <v>3159</v>
      </c>
      <c r="C285" s="4">
        <f>(GDX_data[[#This Row],[Último]]/B284)-1</f>
        <v>-1.8957345971564177E-3</v>
      </c>
    </row>
    <row r="286" spans="1:3" x14ac:dyDescent="0.25">
      <c r="A286" s="1">
        <v>44602</v>
      </c>
      <c r="B286" s="2">
        <v>3069</v>
      </c>
      <c r="C286" s="4">
        <f>(GDX_data[[#This Row],[Último]]/B285)-1</f>
        <v>-2.8490028490028463E-2</v>
      </c>
    </row>
    <row r="287" spans="1:3" x14ac:dyDescent="0.25">
      <c r="A287" s="1">
        <v>44603</v>
      </c>
      <c r="B287" s="2">
        <v>3243</v>
      </c>
      <c r="C287" s="4">
        <f>(GDX_data[[#This Row],[Último]]/B286)-1</f>
        <v>5.6695992179863097E-2</v>
      </c>
    </row>
    <row r="288" spans="1:3" x14ac:dyDescent="0.25">
      <c r="A288" s="1">
        <v>44606</v>
      </c>
      <c r="B288" s="2">
        <v>3309</v>
      </c>
      <c r="C288" s="4">
        <f>(GDX_data[[#This Row],[Último]]/B287)-1</f>
        <v>2.0351526364477346E-2</v>
      </c>
    </row>
    <row r="289" spans="1:3" x14ac:dyDescent="0.25">
      <c r="A289" s="1">
        <v>44607</v>
      </c>
      <c r="B289" s="2">
        <v>3249</v>
      </c>
      <c r="C289" s="4">
        <f>(GDX_data[[#This Row],[Último]]/B288)-1</f>
        <v>-1.8132366273798772E-2</v>
      </c>
    </row>
    <row r="290" spans="1:3" x14ac:dyDescent="0.25">
      <c r="A290" s="1">
        <v>44608</v>
      </c>
      <c r="B290" s="2">
        <v>3353</v>
      </c>
      <c r="C290" s="4">
        <f>(GDX_data[[#This Row],[Último]]/B289)-1</f>
        <v>3.2009849184364336E-2</v>
      </c>
    </row>
    <row r="291" spans="1:3" x14ac:dyDescent="0.25">
      <c r="A291" s="1">
        <v>44609</v>
      </c>
      <c r="B291" s="2">
        <v>3478</v>
      </c>
      <c r="C291" s="4">
        <f>(GDX_data[[#This Row],[Último]]/B290)-1</f>
        <v>3.7280047718461162E-2</v>
      </c>
    </row>
    <row r="292" spans="1:3" x14ac:dyDescent="0.25">
      <c r="A292" s="1">
        <v>44610</v>
      </c>
      <c r="B292" s="2">
        <v>3450</v>
      </c>
      <c r="C292" s="4">
        <f>(GDX_data[[#This Row],[Último]]/B291)-1</f>
        <v>-8.050603795284661E-3</v>
      </c>
    </row>
    <row r="293" spans="1:3" x14ac:dyDescent="0.25">
      <c r="A293" s="1">
        <v>44614</v>
      </c>
      <c r="B293" s="2">
        <v>3411</v>
      </c>
      <c r="C293" s="4">
        <f>(GDX_data[[#This Row],[Último]]/B292)-1</f>
        <v>-1.1304347826086913E-2</v>
      </c>
    </row>
    <row r="294" spans="1:3" x14ac:dyDescent="0.25">
      <c r="A294" s="1">
        <v>44615</v>
      </c>
      <c r="B294" s="2">
        <v>3474</v>
      </c>
      <c r="C294" s="4">
        <f>(GDX_data[[#This Row],[Último]]/B293)-1</f>
        <v>1.846965699208436E-2</v>
      </c>
    </row>
    <row r="295" spans="1:3" x14ac:dyDescent="0.25">
      <c r="A295" s="1">
        <v>44616</v>
      </c>
      <c r="B295" s="2">
        <v>3407</v>
      </c>
      <c r="C295" s="4">
        <f>(GDX_data[[#This Row],[Último]]/B294)-1</f>
        <v>-1.9286125503742091E-2</v>
      </c>
    </row>
    <row r="296" spans="1:3" x14ac:dyDescent="0.25">
      <c r="A296" s="1">
        <v>44617</v>
      </c>
      <c r="B296" s="2">
        <v>3439</v>
      </c>
      <c r="C296" s="4">
        <f>(GDX_data[[#This Row],[Último]]/B295)-1</f>
        <v>9.3924273554446547E-3</v>
      </c>
    </row>
    <row r="297" spans="1:3" x14ac:dyDescent="0.25">
      <c r="A297" s="1">
        <v>44620</v>
      </c>
      <c r="B297" s="2">
        <v>3438</v>
      </c>
      <c r="C297" s="4">
        <f>(GDX_data[[#This Row],[Último]]/B296)-1</f>
        <v>-2.9078220412914746E-4</v>
      </c>
    </row>
    <row r="298" spans="1:3" x14ac:dyDescent="0.25">
      <c r="A298" s="1">
        <v>44621</v>
      </c>
      <c r="B298" s="2">
        <v>3586</v>
      </c>
      <c r="C298" s="4">
        <f>(GDX_data[[#This Row],[Último]]/B297)-1</f>
        <v>4.3048283885980254E-2</v>
      </c>
    </row>
    <row r="299" spans="1:3" x14ac:dyDescent="0.25">
      <c r="A299" s="1">
        <v>44622</v>
      </c>
      <c r="B299" s="2">
        <v>3573</v>
      </c>
      <c r="C299" s="4">
        <f>(GDX_data[[#This Row],[Último]]/B298)-1</f>
        <v>-3.6252091466815184E-3</v>
      </c>
    </row>
    <row r="300" spans="1:3" x14ac:dyDescent="0.25">
      <c r="A300" s="1">
        <v>44623</v>
      </c>
      <c r="B300" s="2">
        <v>3602</v>
      </c>
      <c r="C300" s="4">
        <f>(GDX_data[[#This Row],[Último]]/B299)-1</f>
        <v>8.1164287713406669E-3</v>
      </c>
    </row>
    <row r="301" spans="1:3" x14ac:dyDescent="0.25">
      <c r="A301" s="1">
        <v>44624</v>
      </c>
      <c r="B301" s="2">
        <v>3740</v>
      </c>
      <c r="C301" s="4">
        <f>(GDX_data[[#This Row],[Último]]/B300)-1</f>
        <v>3.8312048861743442E-2</v>
      </c>
    </row>
    <row r="302" spans="1:3" x14ac:dyDescent="0.25">
      <c r="A302" s="1">
        <v>44627</v>
      </c>
      <c r="B302" s="2">
        <v>3836</v>
      </c>
      <c r="C302" s="4">
        <f>(GDX_data[[#This Row],[Último]]/B301)-1</f>
        <v>2.5668449197860932E-2</v>
      </c>
    </row>
    <row r="303" spans="1:3" x14ac:dyDescent="0.25">
      <c r="A303" s="1">
        <v>44628</v>
      </c>
      <c r="B303" s="2">
        <v>3857</v>
      </c>
      <c r="C303" s="4">
        <f>(GDX_data[[#This Row],[Último]]/B302)-1</f>
        <v>5.4744525547445466E-3</v>
      </c>
    </row>
    <row r="304" spans="1:3" x14ac:dyDescent="0.25">
      <c r="A304" s="1">
        <v>44629</v>
      </c>
      <c r="B304" s="2">
        <v>3813</v>
      </c>
      <c r="C304" s="4">
        <f>(GDX_data[[#This Row],[Último]]/B303)-1</f>
        <v>-1.1407829919626633E-2</v>
      </c>
    </row>
    <row r="305" spans="1:3" x14ac:dyDescent="0.25">
      <c r="A305" s="1">
        <v>44630</v>
      </c>
      <c r="B305" s="2">
        <v>3891</v>
      </c>
      <c r="C305" s="4">
        <f>(GDX_data[[#This Row],[Último]]/B304)-1</f>
        <v>2.0456333595594067E-2</v>
      </c>
    </row>
    <row r="306" spans="1:3" x14ac:dyDescent="0.25">
      <c r="A306" s="1">
        <v>44631</v>
      </c>
      <c r="B306" s="2">
        <v>3829</v>
      </c>
      <c r="C306" s="4">
        <f>(GDX_data[[#This Row],[Último]]/B305)-1</f>
        <v>-1.5934207144692847E-2</v>
      </c>
    </row>
    <row r="307" spans="1:3" x14ac:dyDescent="0.25">
      <c r="A307" s="1">
        <v>44634</v>
      </c>
      <c r="B307" s="2">
        <v>3673</v>
      </c>
      <c r="C307" s="4">
        <f>(GDX_data[[#This Row],[Último]]/B306)-1</f>
        <v>-4.0741708017759226E-2</v>
      </c>
    </row>
    <row r="308" spans="1:3" x14ac:dyDescent="0.25">
      <c r="A308" s="1">
        <v>44635</v>
      </c>
      <c r="B308" s="2">
        <v>3690</v>
      </c>
      <c r="C308" s="4">
        <f>(GDX_data[[#This Row],[Último]]/B307)-1</f>
        <v>4.6283691805064642E-3</v>
      </c>
    </row>
    <row r="309" spans="1:3" x14ac:dyDescent="0.25">
      <c r="A309" s="1">
        <v>44636</v>
      </c>
      <c r="B309" s="2">
        <v>3701</v>
      </c>
      <c r="C309" s="4">
        <f>(GDX_data[[#This Row],[Último]]/B308)-1</f>
        <v>2.9810298102981303E-3</v>
      </c>
    </row>
    <row r="310" spans="1:3" x14ac:dyDescent="0.25">
      <c r="A310" s="1">
        <v>44637</v>
      </c>
      <c r="B310" s="2">
        <v>3770</v>
      </c>
      <c r="C310" s="4">
        <f>(GDX_data[[#This Row],[Último]]/B309)-1</f>
        <v>1.8643609835179653E-2</v>
      </c>
    </row>
    <row r="311" spans="1:3" x14ac:dyDescent="0.25">
      <c r="A311" s="1">
        <v>44638</v>
      </c>
      <c r="B311" s="2">
        <v>3722</v>
      </c>
      <c r="C311" s="4">
        <f>(GDX_data[[#This Row],[Último]]/B310)-1</f>
        <v>-1.2732095490716189E-2</v>
      </c>
    </row>
    <row r="312" spans="1:3" x14ac:dyDescent="0.25">
      <c r="A312" s="1">
        <v>44641</v>
      </c>
      <c r="B312" s="2">
        <v>3815</v>
      </c>
      <c r="C312" s="4">
        <f>(GDX_data[[#This Row],[Último]]/B311)-1</f>
        <v>2.4986566362170892E-2</v>
      </c>
    </row>
    <row r="313" spans="1:3" x14ac:dyDescent="0.25">
      <c r="A313" s="1">
        <v>44642</v>
      </c>
      <c r="B313" s="2">
        <v>3776</v>
      </c>
      <c r="C313" s="4">
        <f>(GDX_data[[#This Row],[Último]]/B312)-1</f>
        <v>-1.0222804718217571E-2</v>
      </c>
    </row>
    <row r="314" spans="1:3" x14ac:dyDescent="0.25">
      <c r="A314" s="1">
        <v>44643</v>
      </c>
      <c r="B314" s="2">
        <v>3872</v>
      </c>
      <c r="C314" s="4">
        <f>(GDX_data[[#This Row],[Último]]/B313)-1</f>
        <v>2.5423728813559254E-2</v>
      </c>
    </row>
    <row r="315" spans="1:3" x14ac:dyDescent="0.25">
      <c r="A315" s="1">
        <v>44644</v>
      </c>
      <c r="B315" s="2">
        <v>3856</v>
      </c>
      <c r="C315" s="4">
        <f>(GDX_data[[#This Row],[Último]]/B314)-1</f>
        <v>-4.1322314049586639E-3</v>
      </c>
    </row>
    <row r="316" spans="1:3" x14ac:dyDescent="0.25">
      <c r="A316" s="1">
        <v>44645</v>
      </c>
      <c r="B316" s="2">
        <v>3872</v>
      </c>
      <c r="C316" s="4">
        <f>(GDX_data[[#This Row],[Último]]/B315)-1</f>
        <v>4.1493775933609811E-3</v>
      </c>
    </row>
    <row r="317" spans="1:3" x14ac:dyDescent="0.25">
      <c r="A317" s="1">
        <v>44648</v>
      </c>
      <c r="B317" s="2">
        <v>3770</v>
      </c>
      <c r="C317" s="4">
        <f>(GDX_data[[#This Row],[Último]]/B316)-1</f>
        <v>-2.6342975206611552E-2</v>
      </c>
    </row>
    <row r="318" spans="1:3" x14ac:dyDescent="0.25">
      <c r="A318" s="1">
        <v>44649</v>
      </c>
      <c r="B318" s="2">
        <v>3822</v>
      </c>
      <c r="C318" s="4">
        <f>(GDX_data[[#This Row],[Último]]/B317)-1</f>
        <v>1.379310344827589E-2</v>
      </c>
    </row>
    <row r="319" spans="1:3" x14ac:dyDescent="0.25">
      <c r="A319" s="1">
        <v>44650</v>
      </c>
      <c r="B319" s="2">
        <v>3865</v>
      </c>
      <c r="C319" s="4">
        <f>(GDX_data[[#This Row],[Último]]/B318)-1</f>
        <v>1.125065410779702E-2</v>
      </c>
    </row>
    <row r="320" spans="1:3" x14ac:dyDescent="0.25">
      <c r="A320" s="1">
        <v>44651</v>
      </c>
      <c r="B320" s="2">
        <v>3835</v>
      </c>
      <c r="C320" s="4">
        <f>(GDX_data[[#This Row],[Último]]/B319)-1</f>
        <v>-7.7619663648124115E-3</v>
      </c>
    </row>
    <row r="321" spans="1:3" x14ac:dyDescent="0.25">
      <c r="A321" s="1">
        <v>44652</v>
      </c>
      <c r="B321" s="2">
        <v>3949</v>
      </c>
      <c r="C321" s="4">
        <f>(GDX_data[[#This Row],[Último]]/B320)-1</f>
        <v>2.9726205997392396E-2</v>
      </c>
    </row>
    <row r="322" spans="1:3" x14ac:dyDescent="0.25">
      <c r="A322" s="1">
        <v>44655</v>
      </c>
      <c r="B322" s="2">
        <v>3914</v>
      </c>
      <c r="C322" s="4">
        <f>(GDX_data[[#This Row],[Último]]/B321)-1</f>
        <v>-8.8630032919726487E-3</v>
      </c>
    </row>
    <row r="323" spans="1:3" x14ac:dyDescent="0.25">
      <c r="A323" s="1">
        <v>44656</v>
      </c>
      <c r="B323" s="2">
        <v>3828</v>
      </c>
      <c r="C323" s="4">
        <f>(GDX_data[[#This Row],[Último]]/B322)-1</f>
        <v>-2.1972406745017881E-2</v>
      </c>
    </row>
    <row r="324" spans="1:3" x14ac:dyDescent="0.25">
      <c r="A324" s="1">
        <v>44657</v>
      </c>
      <c r="B324" s="2">
        <v>3818</v>
      </c>
      <c r="C324" s="4">
        <f>(GDX_data[[#This Row],[Último]]/B323)-1</f>
        <v>-2.6123301985371272E-3</v>
      </c>
    </row>
    <row r="325" spans="1:3" x14ac:dyDescent="0.25">
      <c r="A325" s="1">
        <v>44658</v>
      </c>
      <c r="B325" s="2">
        <v>3873</v>
      </c>
      <c r="C325" s="4">
        <f>(GDX_data[[#This Row],[Último]]/B324)-1</f>
        <v>1.4405447878470312E-2</v>
      </c>
    </row>
    <row r="326" spans="1:3" x14ac:dyDescent="0.25">
      <c r="A326" s="1">
        <v>44659</v>
      </c>
      <c r="B326" s="2">
        <v>3967</v>
      </c>
      <c r="C326" s="4">
        <f>(GDX_data[[#This Row],[Último]]/B325)-1</f>
        <v>2.4270591272915087E-2</v>
      </c>
    </row>
    <row r="327" spans="1:3" x14ac:dyDescent="0.25">
      <c r="A327" s="1">
        <v>44662</v>
      </c>
      <c r="B327" s="2">
        <v>3945</v>
      </c>
      <c r="C327" s="4">
        <f>(GDX_data[[#This Row],[Último]]/B326)-1</f>
        <v>-5.5457524577766648E-3</v>
      </c>
    </row>
    <row r="328" spans="1:3" x14ac:dyDescent="0.25">
      <c r="A328" s="1">
        <v>44663</v>
      </c>
      <c r="B328" s="2">
        <v>3980</v>
      </c>
      <c r="C328" s="4">
        <f>(GDX_data[[#This Row],[Último]]/B327)-1</f>
        <v>8.8719898605829073E-3</v>
      </c>
    </row>
    <row r="329" spans="1:3" x14ac:dyDescent="0.25">
      <c r="A329" s="1">
        <v>44664</v>
      </c>
      <c r="B329" s="2">
        <v>4069</v>
      </c>
      <c r="C329" s="4">
        <f>(GDX_data[[#This Row],[Último]]/B328)-1</f>
        <v>2.2361809045226222E-2</v>
      </c>
    </row>
    <row r="330" spans="1:3" x14ac:dyDescent="0.25">
      <c r="A330" s="1">
        <v>44665</v>
      </c>
      <c r="B330" s="2">
        <v>4086</v>
      </c>
      <c r="C330" s="4">
        <f>(GDX_data[[#This Row],[Último]]/B329)-1</f>
        <v>4.1779306955025408E-3</v>
      </c>
    </row>
    <row r="331" spans="1:3" x14ac:dyDescent="0.25">
      <c r="A331" s="1">
        <v>44669</v>
      </c>
      <c r="B331" s="2">
        <v>4087</v>
      </c>
      <c r="C331" s="4">
        <f>(GDX_data[[#This Row],[Último]]/B330)-1</f>
        <v>2.4473813020065016E-4</v>
      </c>
    </row>
    <row r="332" spans="1:3" x14ac:dyDescent="0.25">
      <c r="A332" s="1">
        <v>44670</v>
      </c>
      <c r="B332" s="2">
        <v>3970</v>
      </c>
      <c r="C332" s="4">
        <f>(GDX_data[[#This Row],[Último]]/B331)-1</f>
        <v>-2.8627355028137957E-2</v>
      </c>
    </row>
    <row r="333" spans="1:3" x14ac:dyDescent="0.25">
      <c r="A333" s="1">
        <v>44671</v>
      </c>
      <c r="B333" s="2">
        <v>4013</v>
      </c>
      <c r="C333" s="4">
        <f>(GDX_data[[#This Row],[Último]]/B332)-1</f>
        <v>1.0831234256927003E-2</v>
      </c>
    </row>
    <row r="334" spans="1:3" x14ac:dyDescent="0.25">
      <c r="A334" s="1">
        <v>44672</v>
      </c>
      <c r="B334" s="2">
        <v>3809</v>
      </c>
      <c r="C334" s="4">
        <f>(GDX_data[[#This Row],[Último]]/B333)-1</f>
        <v>-5.0834786942437038E-2</v>
      </c>
    </row>
    <row r="335" spans="1:3" x14ac:dyDescent="0.25">
      <c r="A335" s="1">
        <v>44673</v>
      </c>
      <c r="B335" s="2">
        <v>3694</v>
      </c>
      <c r="C335" s="4">
        <f>(GDX_data[[#This Row],[Último]]/B334)-1</f>
        <v>-3.0191651352060922E-2</v>
      </c>
    </row>
    <row r="336" spans="1:3" x14ac:dyDescent="0.25">
      <c r="A336" s="1">
        <v>44676</v>
      </c>
      <c r="B336" s="2">
        <v>3567</v>
      </c>
      <c r="C336" s="4">
        <f>(GDX_data[[#This Row],[Último]]/B335)-1</f>
        <v>-3.4380075798592258E-2</v>
      </c>
    </row>
    <row r="337" spans="1:3" x14ac:dyDescent="0.25">
      <c r="A337" s="1">
        <v>44677</v>
      </c>
      <c r="B337" s="2">
        <v>3490</v>
      </c>
      <c r="C337" s="4">
        <f>(GDX_data[[#This Row],[Último]]/B336)-1</f>
        <v>-2.1586767591813882E-2</v>
      </c>
    </row>
    <row r="338" spans="1:3" x14ac:dyDescent="0.25">
      <c r="A338" s="1">
        <v>44678</v>
      </c>
      <c r="B338" s="2">
        <v>3470</v>
      </c>
      <c r="C338" s="4">
        <f>(GDX_data[[#This Row],[Último]]/B337)-1</f>
        <v>-5.7306590257879542E-3</v>
      </c>
    </row>
    <row r="339" spans="1:3" x14ac:dyDescent="0.25">
      <c r="A339" s="1">
        <v>44679</v>
      </c>
      <c r="B339" s="2">
        <v>3541</v>
      </c>
      <c r="C339" s="4">
        <f>(GDX_data[[#This Row],[Último]]/B338)-1</f>
        <v>2.0461095100864579E-2</v>
      </c>
    </row>
    <row r="340" spans="1:3" x14ac:dyDescent="0.25">
      <c r="A340" s="1">
        <v>44680</v>
      </c>
      <c r="B340" s="2">
        <v>3499</v>
      </c>
      <c r="C340" s="4">
        <f>(GDX_data[[#This Row],[Último]]/B339)-1</f>
        <v>-1.1861056198813946E-2</v>
      </c>
    </row>
    <row r="341" spans="1:3" x14ac:dyDescent="0.25">
      <c r="A341" s="1">
        <v>44683</v>
      </c>
      <c r="B341" s="2">
        <v>3455</v>
      </c>
      <c r="C341" s="4">
        <f>(GDX_data[[#This Row],[Último]]/B340)-1</f>
        <v>-1.2575021434695577E-2</v>
      </c>
    </row>
    <row r="342" spans="1:3" x14ac:dyDescent="0.25">
      <c r="A342" s="1">
        <v>44684</v>
      </c>
      <c r="B342" s="2">
        <v>3511</v>
      </c>
      <c r="C342" s="4">
        <f>(GDX_data[[#This Row],[Último]]/B341)-1</f>
        <v>1.6208393632416884E-2</v>
      </c>
    </row>
    <row r="343" spans="1:3" x14ac:dyDescent="0.25">
      <c r="A343" s="1">
        <v>44685</v>
      </c>
      <c r="B343" s="2">
        <v>3578</v>
      </c>
      <c r="C343" s="4">
        <f>(GDX_data[[#This Row],[Último]]/B342)-1</f>
        <v>1.9082882369695353E-2</v>
      </c>
    </row>
    <row r="344" spans="1:3" x14ac:dyDescent="0.25">
      <c r="A344" s="1">
        <v>44686</v>
      </c>
      <c r="B344" s="2">
        <v>3463</v>
      </c>
      <c r="C344" s="4">
        <f>(GDX_data[[#This Row],[Último]]/B343)-1</f>
        <v>-3.2140860816098349E-2</v>
      </c>
    </row>
    <row r="345" spans="1:3" x14ac:dyDescent="0.25">
      <c r="A345" s="1">
        <v>44687</v>
      </c>
      <c r="B345" s="2">
        <v>3424</v>
      </c>
      <c r="C345" s="4">
        <f>(GDX_data[[#This Row],[Último]]/B344)-1</f>
        <v>-1.1261911637308719E-2</v>
      </c>
    </row>
    <row r="346" spans="1:3" x14ac:dyDescent="0.25">
      <c r="A346" s="1">
        <v>44690</v>
      </c>
      <c r="B346" s="2">
        <v>3223</v>
      </c>
      <c r="C346" s="4">
        <f>(GDX_data[[#This Row],[Último]]/B345)-1</f>
        <v>-5.8703271028037407E-2</v>
      </c>
    </row>
    <row r="347" spans="1:3" x14ac:dyDescent="0.25">
      <c r="A347" s="1">
        <v>44691</v>
      </c>
      <c r="B347" s="2">
        <v>3169</v>
      </c>
      <c r="C347" s="4">
        <f>(GDX_data[[#This Row],[Último]]/B346)-1</f>
        <v>-1.6754576481538885E-2</v>
      </c>
    </row>
    <row r="348" spans="1:3" x14ac:dyDescent="0.25">
      <c r="A348" s="1">
        <v>44692</v>
      </c>
      <c r="B348" s="2">
        <v>3165</v>
      </c>
      <c r="C348" s="4">
        <f>(GDX_data[[#This Row],[Último]]/B347)-1</f>
        <v>-1.2622278321237079E-3</v>
      </c>
    </row>
    <row r="349" spans="1:3" x14ac:dyDescent="0.25">
      <c r="A349" s="1">
        <v>44693</v>
      </c>
      <c r="B349" s="2">
        <v>3018</v>
      </c>
      <c r="C349" s="4">
        <f>(GDX_data[[#This Row],[Último]]/B348)-1</f>
        <v>-4.6445497630331789E-2</v>
      </c>
    </row>
    <row r="350" spans="1:3" x14ac:dyDescent="0.25">
      <c r="A350" s="1">
        <v>44694</v>
      </c>
      <c r="B350" s="2">
        <v>3088</v>
      </c>
      <c r="C350" s="4">
        <f>(GDX_data[[#This Row],[Último]]/B349)-1</f>
        <v>2.3194168323392939E-2</v>
      </c>
    </row>
    <row r="351" spans="1:3" x14ac:dyDescent="0.25">
      <c r="A351" s="1">
        <v>44697</v>
      </c>
      <c r="B351" s="2">
        <v>3118</v>
      </c>
      <c r="C351" s="4">
        <f>(GDX_data[[#This Row],[Último]]/B350)-1</f>
        <v>9.7150259067357858E-3</v>
      </c>
    </row>
    <row r="352" spans="1:3" x14ac:dyDescent="0.25">
      <c r="A352" s="1">
        <v>44698</v>
      </c>
      <c r="B352" s="2">
        <v>3124</v>
      </c>
      <c r="C352" s="4">
        <f>(GDX_data[[#This Row],[Último]]/B351)-1</f>
        <v>1.9243104554200752E-3</v>
      </c>
    </row>
    <row r="353" spans="1:3" x14ac:dyDescent="0.25">
      <c r="A353" s="1">
        <v>44699</v>
      </c>
      <c r="B353" s="2">
        <v>3045</v>
      </c>
      <c r="C353" s="4">
        <f>(GDX_data[[#This Row],[Último]]/B352)-1</f>
        <v>-2.5288092189500677E-2</v>
      </c>
    </row>
    <row r="354" spans="1:3" x14ac:dyDescent="0.25">
      <c r="A354" s="1">
        <v>44700</v>
      </c>
      <c r="B354" s="2">
        <v>3215</v>
      </c>
      <c r="C354" s="4">
        <f>(GDX_data[[#This Row],[Último]]/B353)-1</f>
        <v>5.5829228243021278E-2</v>
      </c>
    </row>
    <row r="355" spans="1:3" x14ac:dyDescent="0.25">
      <c r="A355" s="1">
        <v>44701</v>
      </c>
      <c r="B355" s="2">
        <v>3206</v>
      </c>
      <c r="C355" s="4">
        <f>(GDX_data[[#This Row],[Último]]/B354)-1</f>
        <v>-2.7993779160186971E-3</v>
      </c>
    </row>
    <row r="356" spans="1:3" x14ac:dyDescent="0.25">
      <c r="A356" s="1">
        <v>44704</v>
      </c>
      <c r="B356" s="2">
        <v>3225</v>
      </c>
      <c r="C356" s="4">
        <f>(GDX_data[[#This Row],[Último]]/B355)-1</f>
        <v>5.926388022457818E-3</v>
      </c>
    </row>
    <row r="357" spans="1:3" x14ac:dyDescent="0.25">
      <c r="A357" s="1">
        <v>44705</v>
      </c>
      <c r="B357" s="2">
        <v>3274</v>
      </c>
      <c r="C357" s="4">
        <f>(GDX_data[[#This Row],[Último]]/B356)-1</f>
        <v>1.5193798449612439E-2</v>
      </c>
    </row>
    <row r="358" spans="1:3" x14ac:dyDescent="0.25">
      <c r="A358" s="1">
        <v>44706</v>
      </c>
      <c r="B358" s="2">
        <v>3259</v>
      </c>
      <c r="C358" s="4">
        <f>(GDX_data[[#This Row],[Último]]/B357)-1</f>
        <v>-4.5815516188149052E-3</v>
      </c>
    </row>
    <row r="359" spans="1:3" x14ac:dyDescent="0.25">
      <c r="A359" s="1">
        <v>44707</v>
      </c>
      <c r="B359" s="2">
        <v>3239</v>
      </c>
      <c r="C359" s="4">
        <f>(GDX_data[[#This Row],[Último]]/B358)-1</f>
        <v>-6.1368517950290968E-3</v>
      </c>
    </row>
    <row r="360" spans="1:3" x14ac:dyDescent="0.25">
      <c r="A360" s="1">
        <v>44708</v>
      </c>
      <c r="B360" s="2">
        <v>3251</v>
      </c>
      <c r="C360" s="4">
        <f>(GDX_data[[#This Row],[Último]]/B359)-1</f>
        <v>3.7048471750540379E-3</v>
      </c>
    </row>
    <row r="361" spans="1:3" x14ac:dyDescent="0.25">
      <c r="A361" s="1">
        <v>44712</v>
      </c>
      <c r="B361" s="2">
        <v>3173</v>
      </c>
      <c r="C361" s="4">
        <f>(GDX_data[[#This Row],[Último]]/B360)-1</f>
        <v>-2.399261765610583E-2</v>
      </c>
    </row>
    <row r="362" spans="1:3" x14ac:dyDescent="0.25">
      <c r="A362" s="1">
        <v>44713</v>
      </c>
      <c r="B362" s="2">
        <v>3198</v>
      </c>
      <c r="C362" s="4">
        <f>(GDX_data[[#This Row],[Último]]/B361)-1</f>
        <v>7.8789788843365294E-3</v>
      </c>
    </row>
    <row r="363" spans="1:3" x14ac:dyDescent="0.25">
      <c r="A363" s="1">
        <v>44714</v>
      </c>
      <c r="B363" s="2">
        <v>3335</v>
      </c>
      <c r="C363" s="4">
        <f>(GDX_data[[#This Row],[Último]]/B362)-1</f>
        <v>4.2839274546591533E-2</v>
      </c>
    </row>
    <row r="364" spans="1:3" x14ac:dyDescent="0.25">
      <c r="A364" s="1">
        <v>44715</v>
      </c>
      <c r="B364" s="2">
        <v>3256</v>
      </c>
      <c r="C364" s="4">
        <f>(GDX_data[[#This Row],[Último]]/B363)-1</f>
        <v>-2.3688155922038989E-2</v>
      </c>
    </row>
    <row r="365" spans="1:3" x14ac:dyDescent="0.25">
      <c r="A365" s="1">
        <v>44718</v>
      </c>
      <c r="B365" s="2">
        <v>3222</v>
      </c>
      <c r="C365" s="4">
        <f>(GDX_data[[#This Row],[Último]]/B364)-1</f>
        <v>-1.0442260442260487E-2</v>
      </c>
    </row>
    <row r="366" spans="1:3" x14ac:dyDescent="0.25">
      <c r="A366" s="1">
        <v>44719</v>
      </c>
      <c r="B366" s="2">
        <v>3253</v>
      </c>
      <c r="C366" s="4">
        <f>(GDX_data[[#This Row],[Último]]/B365)-1</f>
        <v>9.6213531967721533E-3</v>
      </c>
    </row>
    <row r="367" spans="1:3" x14ac:dyDescent="0.25">
      <c r="A367" s="1">
        <v>44720</v>
      </c>
      <c r="B367" s="2">
        <v>3231</v>
      </c>
      <c r="C367" s="4">
        <f>(GDX_data[[#This Row],[Último]]/B366)-1</f>
        <v>-6.7629880110666729E-3</v>
      </c>
    </row>
    <row r="368" spans="1:3" x14ac:dyDescent="0.25">
      <c r="A368" s="1">
        <v>44721</v>
      </c>
      <c r="B368" s="2">
        <v>3109</v>
      </c>
      <c r="C368" s="4">
        <f>(GDX_data[[#This Row],[Último]]/B367)-1</f>
        <v>-3.7759207675642226E-2</v>
      </c>
    </row>
    <row r="369" spans="1:3" x14ac:dyDescent="0.25">
      <c r="A369" s="1">
        <v>44722</v>
      </c>
      <c r="B369" s="2">
        <v>3257</v>
      </c>
      <c r="C369" s="4">
        <f>(GDX_data[[#This Row],[Último]]/B368)-1</f>
        <v>4.760373110324867E-2</v>
      </c>
    </row>
    <row r="370" spans="1:3" x14ac:dyDescent="0.25">
      <c r="A370" s="1">
        <v>44725</v>
      </c>
      <c r="B370" s="2">
        <v>3047</v>
      </c>
      <c r="C370" s="4">
        <f>(GDX_data[[#This Row],[Último]]/B369)-1</f>
        <v>-6.4476512127724872E-2</v>
      </c>
    </row>
    <row r="371" spans="1:3" x14ac:dyDescent="0.25">
      <c r="A371" s="1">
        <v>44726</v>
      </c>
      <c r="B371" s="2">
        <v>2970</v>
      </c>
      <c r="C371" s="4">
        <f>(GDX_data[[#This Row],[Último]]/B370)-1</f>
        <v>-2.5270758122743708E-2</v>
      </c>
    </row>
    <row r="372" spans="1:3" x14ac:dyDescent="0.25">
      <c r="A372" s="1">
        <v>44727</v>
      </c>
      <c r="B372" s="2">
        <v>3019</v>
      </c>
      <c r="C372" s="4">
        <f>(GDX_data[[#This Row],[Último]]/B371)-1</f>
        <v>1.6498316498316568E-2</v>
      </c>
    </row>
    <row r="373" spans="1:3" x14ac:dyDescent="0.25">
      <c r="A373" s="1">
        <v>44728</v>
      </c>
      <c r="B373" s="2">
        <v>3076</v>
      </c>
      <c r="C373" s="4">
        <f>(GDX_data[[#This Row],[Último]]/B372)-1</f>
        <v>1.8880423981450845E-2</v>
      </c>
    </row>
    <row r="374" spans="1:3" x14ac:dyDescent="0.25">
      <c r="A374" s="1">
        <v>44729</v>
      </c>
      <c r="B374" s="2">
        <v>3039</v>
      </c>
      <c r="C374" s="4">
        <f>(GDX_data[[#This Row],[Último]]/B373)-1</f>
        <v>-1.2028608582574818E-2</v>
      </c>
    </row>
    <row r="375" spans="1:3" x14ac:dyDescent="0.25">
      <c r="A375" s="1">
        <v>44733</v>
      </c>
      <c r="B375" s="2">
        <v>3050</v>
      </c>
      <c r="C375" s="4">
        <f>(GDX_data[[#This Row],[Último]]/B374)-1</f>
        <v>3.6196117143796336E-3</v>
      </c>
    </row>
    <row r="376" spans="1:3" x14ac:dyDescent="0.25">
      <c r="A376" s="1">
        <v>44734</v>
      </c>
      <c r="B376" s="2">
        <v>3008</v>
      </c>
      <c r="C376" s="4">
        <f>(GDX_data[[#This Row],[Último]]/B375)-1</f>
        <v>-1.3770491803278717E-2</v>
      </c>
    </row>
    <row r="377" spans="1:3" x14ac:dyDescent="0.25">
      <c r="A377" s="1">
        <v>44735</v>
      </c>
      <c r="B377" s="2">
        <v>2891</v>
      </c>
      <c r="C377" s="4">
        <f>(GDX_data[[#This Row],[Último]]/B376)-1</f>
        <v>-3.8896276595744683E-2</v>
      </c>
    </row>
    <row r="378" spans="1:3" x14ac:dyDescent="0.25">
      <c r="A378" s="1">
        <v>44736</v>
      </c>
      <c r="B378" s="2">
        <v>2966</v>
      </c>
      <c r="C378" s="4">
        <f>(GDX_data[[#This Row],[Último]]/B377)-1</f>
        <v>2.5942580421999262E-2</v>
      </c>
    </row>
    <row r="379" spans="1:3" x14ac:dyDescent="0.25">
      <c r="A379" s="1">
        <v>44739</v>
      </c>
      <c r="B379" s="2">
        <v>2947</v>
      </c>
      <c r="C379" s="4">
        <f>(GDX_data[[#This Row],[Último]]/B378)-1</f>
        <v>-6.4059339177343633E-3</v>
      </c>
    </row>
    <row r="380" spans="1:3" x14ac:dyDescent="0.25">
      <c r="A380" s="1">
        <v>44740</v>
      </c>
      <c r="B380" s="2">
        <v>2887</v>
      </c>
      <c r="C380" s="4">
        <f>(GDX_data[[#This Row],[Último]]/B379)-1</f>
        <v>-2.0359687818120142E-2</v>
      </c>
    </row>
    <row r="381" spans="1:3" x14ac:dyDescent="0.25">
      <c r="A381" s="1">
        <v>44741</v>
      </c>
      <c r="B381" s="2">
        <v>2844</v>
      </c>
      <c r="C381" s="4">
        <f>(GDX_data[[#This Row],[Último]]/B380)-1</f>
        <v>-1.4894354000692722E-2</v>
      </c>
    </row>
    <row r="382" spans="1:3" x14ac:dyDescent="0.25">
      <c r="A382" s="1">
        <v>44742</v>
      </c>
      <c r="B382" s="2">
        <v>2738</v>
      </c>
      <c r="C382" s="4">
        <f>(GDX_data[[#This Row],[Último]]/B381)-1</f>
        <v>-3.7271448663853679E-2</v>
      </c>
    </row>
    <row r="383" spans="1:3" x14ac:dyDescent="0.25">
      <c r="A383" s="1">
        <v>44743</v>
      </c>
      <c r="B383" s="2">
        <v>2816</v>
      </c>
      <c r="C383" s="4">
        <f>(GDX_data[[#This Row],[Último]]/B382)-1</f>
        <v>2.8487947406866221E-2</v>
      </c>
    </row>
    <row r="384" spans="1:3" x14ac:dyDescent="0.25">
      <c r="A384" s="1">
        <v>44747</v>
      </c>
      <c r="B384" s="2">
        <v>2696</v>
      </c>
      <c r="C384" s="4">
        <f>(GDX_data[[#This Row],[Último]]/B383)-1</f>
        <v>-4.2613636363636354E-2</v>
      </c>
    </row>
    <row r="385" spans="1:3" x14ac:dyDescent="0.25">
      <c r="A385" s="1">
        <v>44748</v>
      </c>
      <c r="B385" s="2">
        <v>2679</v>
      </c>
      <c r="C385" s="4">
        <f>(GDX_data[[#This Row],[Último]]/B384)-1</f>
        <v>-6.3056379821958553E-3</v>
      </c>
    </row>
    <row r="386" spans="1:3" x14ac:dyDescent="0.25">
      <c r="A386" s="1">
        <v>44749</v>
      </c>
      <c r="B386" s="2">
        <v>2716</v>
      </c>
      <c r="C386" s="4">
        <f>(GDX_data[[#This Row],[Último]]/B385)-1</f>
        <v>1.381112355356473E-2</v>
      </c>
    </row>
    <row r="387" spans="1:3" x14ac:dyDescent="0.25">
      <c r="A387" s="1">
        <v>44750</v>
      </c>
      <c r="B387" s="2">
        <v>2706</v>
      </c>
      <c r="C387" s="4">
        <f>(GDX_data[[#This Row],[Último]]/B386)-1</f>
        <v>-3.6818851251840812E-3</v>
      </c>
    </row>
    <row r="388" spans="1:3" x14ac:dyDescent="0.25">
      <c r="A388" s="1">
        <v>44753</v>
      </c>
      <c r="B388" s="2">
        <v>2665</v>
      </c>
      <c r="C388" s="4">
        <f>(GDX_data[[#This Row],[Último]]/B387)-1</f>
        <v>-1.5151515151515138E-2</v>
      </c>
    </row>
    <row r="389" spans="1:3" x14ac:dyDescent="0.25">
      <c r="A389" s="1">
        <v>44754</v>
      </c>
      <c r="B389" s="2">
        <v>2626</v>
      </c>
      <c r="C389" s="4">
        <f>(GDX_data[[#This Row],[Último]]/B388)-1</f>
        <v>-1.4634146341463428E-2</v>
      </c>
    </row>
    <row r="390" spans="1:3" x14ac:dyDescent="0.25">
      <c r="A390" s="1">
        <v>44755</v>
      </c>
      <c r="B390" s="2">
        <v>2683</v>
      </c>
      <c r="C390" s="4">
        <f>(GDX_data[[#This Row],[Último]]/B389)-1</f>
        <v>2.170601675552164E-2</v>
      </c>
    </row>
    <row r="391" spans="1:3" x14ac:dyDescent="0.25">
      <c r="A391" s="1">
        <v>44756</v>
      </c>
      <c r="B391" s="2">
        <v>2571</v>
      </c>
      <c r="C391" s="4">
        <f>(GDX_data[[#This Row],[Último]]/B390)-1</f>
        <v>-4.1744316064107334E-2</v>
      </c>
    </row>
    <row r="392" spans="1:3" x14ac:dyDescent="0.25">
      <c r="A392" s="1">
        <v>44757</v>
      </c>
      <c r="B392" s="2">
        <v>2559</v>
      </c>
      <c r="C392" s="4">
        <f>(GDX_data[[#This Row],[Último]]/B391)-1</f>
        <v>-4.667444574095736E-3</v>
      </c>
    </row>
    <row r="393" spans="1:3" x14ac:dyDescent="0.25">
      <c r="A393" s="1">
        <v>44760</v>
      </c>
      <c r="B393" s="2">
        <v>2571</v>
      </c>
      <c r="C393" s="4">
        <f>(GDX_data[[#This Row],[Último]]/B392)-1</f>
        <v>4.6893317702227932E-3</v>
      </c>
    </row>
    <row r="394" spans="1:3" x14ac:dyDescent="0.25">
      <c r="A394" s="1">
        <v>44761</v>
      </c>
      <c r="B394" s="2">
        <v>2602</v>
      </c>
      <c r="C394" s="4">
        <f>(GDX_data[[#This Row],[Último]]/B393)-1</f>
        <v>1.2057565149747207E-2</v>
      </c>
    </row>
    <row r="395" spans="1:3" x14ac:dyDescent="0.25">
      <c r="A395" s="1">
        <v>44762</v>
      </c>
      <c r="B395" s="2">
        <v>2526</v>
      </c>
      <c r="C395" s="4">
        <f>(GDX_data[[#This Row],[Último]]/B394)-1</f>
        <v>-2.9208301306687168E-2</v>
      </c>
    </row>
    <row r="396" spans="1:3" x14ac:dyDescent="0.25">
      <c r="A396" s="1">
        <v>44763</v>
      </c>
      <c r="B396" s="2">
        <v>2574</v>
      </c>
      <c r="C396" s="4">
        <f>(GDX_data[[#This Row],[Último]]/B395)-1</f>
        <v>1.9002375296912177E-2</v>
      </c>
    </row>
    <row r="397" spans="1:3" x14ac:dyDescent="0.25">
      <c r="A397" s="1">
        <v>44764</v>
      </c>
      <c r="B397" s="2">
        <v>2541</v>
      </c>
      <c r="C397" s="4">
        <f>(GDX_data[[#This Row],[Último]]/B396)-1</f>
        <v>-1.2820512820512775E-2</v>
      </c>
    </row>
    <row r="398" spans="1:3" x14ac:dyDescent="0.25">
      <c r="A398" s="1">
        <v>44767</v>
      </c>
      <c r="B398" s="2">
        <v>2459</v>
      </c>
      <c r="C398" s="4">
        <f>(GDX_data[[#This Row],[Último]]/B397)-1</f>
        <v>-3.2270759543486793E-2</v>
      </c>
    </row>
    <row r="399" spans="1:3" x14ac:dyDescent="0.25">
      <c r="A399" s="1">
        <v>44768</v>
      </c>
      <c r="B399" s="2">
        <v>2510</v>
      </c>
      <c r="C399" s="4">
        <f>(GDX_data[[#This Row],[Último]]/B398)-1</f>
        <v>2.074013826758847E-2</v>
      </c>
    </row>
    <row r="400" spans="1:3" x14ac:dyDescent="0.25">
      <c r="A400" s="1">
        <v>44769</v>
      </c>
      <c r="B400" s="2">
        <v>2553</v>
      </c>
      <c r="C400" s="4">
        <f>(GDX_data[[#This Row],[Último]]/B399)-1</f>
        <v>1.7131474103585731E-2</v>
      </c>
    </row>
    <row r="401" spans="1:3" x14ac:dyDescent="0.25">
      <c r="A401" s="1">
        <v>44770</v>
      </c>
      <c r="B401" s="2">
        <v>2600</v>
      </c>
      <c r="C401" s="4">
        <f>(GDX_data[[#This Row],[Último]]/B400)-1</f>
        <v>1.8409714061887961E-2</v>
      </c>
    </row>
    <row r="402" spans="1:3" x14ac:dyDescent="0.25">
      <c r="A402" s="1">
        <v>44771</v>
      </c>
      <c r="B402" s="2">
        <v>2627</v>
      </c>
      <c r="C402" s="4">
        <f>(GDX_data[[#This Row],[Último]]/B401)-1</f>
        <v>1.0384615384615437E-2</v>
      </c>
    </row>
    <row r="403" spans="1:3" x14ac:dyDescent="0.25">
      <c r="A403" s="1">
        <v>44774</v>
      </c>
      <c r="B403" s="2">
        <v>2621</v>
      </c>
      <c r="C403" s="4">
        <f>(GDX_data[[#This Row],[Último]]/B402)-1</f>
        <v>-2.2839741149600634E-3</v>
      </c>
    </row>
    <row r="404" spans="1:3" x14ac:dyDescent="0.25">
      <c r="A404" s="1">
        <v>44775</v>
      </c>
      <c r="B404" s="2">
        <v>2588</v>
      </c>
      <c r="C404" s="4">
        <f>(GDX_data[[#This Row],[Último]]/B403)-1</f>
        <v>-1.259061426936281E-2</v>
      </c>
    </row>
    <row r="405" spans="1:3" x14ac:dyDescent="0.25">
      <c r="A405" s="1">
        <v>44776</v>
      </c>
      <c r="B405" s="2">
        <v>2554</v>
      </c>
      <c r="C405" s="4">
        <f>(GDX_data[[#This Row],[Último]]/B404)-1</f>
        <v>-1.3137557959814528E-2</v>
      </c>
    </row>
    <row r="406" spans="1:3" x14ac:dyDescent="0.25">
      <c r="A406" s="1">
        <v>44777</v>
      </c>
      <c r="B406" s="2">
        <v>2643</v>
      </c>
      <c r="C406" s="4">
        <f>(GDX_data[[#This Row],[Último]]/B405)-1</f>
        <v>3.4847298355520806E-2</v>
      </c>
    </row>
    <row r="407" spans="1:3" x14ac:dyDescent="0.25">
      <c r="A407" s="1">
        <v>44778</v>
      </c>
      <c r="B407" s="2">
        <v>2628</v>
      </c>
      <c r="C407" s="4">
        <f>(GDX_data[[#This Row],[Último]]/B406)-1</f>
        <v>-5.6753688989784612E-3</v>
      </c>
    </row>
    <row r="408" spans="1:3" x14ac:dyDescent="0.25">
      <c r="A408" s="1">
        <v>44781</v>
      </c>
      <c r="B408" s="2">
        <v>2700</v>
      </c>
      <c r="C408" s="4">
        <f>(GDX_data[[#This Row],[Último]]/B407)-1</f>
        <v>2.7397260273972712E-2</v>
      </c>
    </row>
    <row r="409" spans="1:3" x14ac:dyDescent="0.25">
      <c r="A409" s="1">
        <v>44782</v>
      </c>
      <c r="B409" s="2">
        <v>2694</v>
      </c>
      <c r="C409" s="4">
        <f>(GDX_data[[#This Row],[Último]]/B408)-1</f>
        <v>-2.2222222222222365E-3</v>
      </c>
    </row>
    <row r="410" spans="1:3" x14ac:dyDescent="0.25">
      <c r="A410" s="1">
        <v>44783</v>
      </c>
      <c r="B410" s="2">
        <v>2713</v>
      </c>
      <c r="C410" s="4">
        <f>(GDX_data[[#This Row],[Último]]/B409)-1</f>
        <v>7.0527097253154647E-3</v>
      </c>
    </row>
    <row r="411" spans="1:3" x14ac:dyDescent="0.25">
      <c r="A411" s="1">
        <v>44784</v>
      </c>
      <c r="B411" s="2">
        <v>2662</v>
      </c>
      <c r="C411" s="4">
        <f>(GDX_data[[#This Row],[Último]]/B410)-1</f>
        <v>-1.8798378179137432E-2</v>
      </c>
    </row>
    <row r="412" spans="1:3" x14ac:dyDescent="0.25">
      <c r="A412" s="1">
        <v>44785</v>
      </c>
      <c r="B412" s="2">
        <v>2722</v>
      </c>
      <c r="C412" s="4">
        <f>(GDX_data[[#This Row],[Último]]/B411)-1</f>
        <v>2.2539444027047439E-2</v>
      </c>
    </row>
    <row r="413" spans="1:3" x14ac:dyDescent="0.25">
      <c r="A413" s="1">
        <v>44788</v>
      </c>
      <c r="B413" s="2">
        <v>2663</v>
      </c>
      <c r="C413" s="4">
        <f>(GDX_data[[#This Row],[Último]]/B412)-1</f>
        <v>-2.167523879500366E-2</v>
      </c>
    </row>
    <row r="414" spans="1:3" x14ac:dyDescent="0.25">
      <c r="A414" s="1">
        <v>44789</v>
      </c>
      <c r="B414" s="2">
        <v>2673</v>
      </c>
      <c r="C414" s="4">
        <f>(GDX_data[[#This Row],[Último]]/B413)-1</f>
        <v>3.7551633496057946E-3</v>
      </c>
    </row>
    <row r="415" spans="1:3" x14ac:dyDescent="0.25">
      <c r="A415" s="1">
        <v>44790</v>
      </c>
      <c r="B415" s="2">
        <v>2578</v>
      </c>
      <c r="C415" s="4">
        <f>(GDX_data[[#This Row],[Último]]/B414)-1</f>
        <v>-3.5540591096146601E-2</v>
      </c>
    </row>
    <row r="416" spans="1:3" x14ac:dyDescent="0.25">
      <c r="A416" s="1">
        <v>44791</v>
      </c>
      <c r="B416" s="2">
        <v>2581</v>
      </c>
      <c r="C416" s="4">
        <f>(GDX_data[[#This Row],[Último]]/B415)-1</f>
        <v>1.1636927851046419E-3</v>
      </c>
    </row>
    <row r="417" spans="1:3" x14ac:dyDescent="0.25">
      <c r="A417" s="1">
        <v>44792</v>
      </c>
      <c r="B417" s="2">
        <v>2525</v>
      </c>
      <c r="C417" s="4">
        <f>(GDX_data[[#This Row],[Último]]/B416)-1</f>
        <v>-2.1697016660209179E-2</v>
      </c>
    </row>
    <row r="418" spans="1:3" x14ac:dyDescent="0.25">
      <c r="A418" s="1">
        <v>44795</v>
      </c>
      <c r="B418" s="2">
        <v>2527</v>
      </c>
      <c r="C418" s="4">
        <f>(GDX_data[[#This Row],[Último]]/B417)-1</f>
        <v>7.9207920792079278E-4</v>
      </c>
    </row>
    <row r="419" spans="1:3" x14ac:dyDescent="0.25">
      <c r="A419" s="1">
        <v>44796</v>
      </c>
      <c r="B419" s="2">
        <v>2570</v>
      </c>
      <c r="C419" s="4">
        <f>(GDX_data[[#This Row],[Último]]/B418)-1</f>
        <v>1.7016224772457456E-2</v>
      </c>
    </row>
    <row r="420" spans="1:3" x14ac:dyDescent="0.25">
      <c r="A420" s="1">
        <v>44797</v>
      </c>
      <c r="B420" s="2">
        <v>2591</v>
      </c>
      <c r="C420" s="4">
        <f>(GDX_data[[#This Row],[Último]]/B419)-1</f>
        <v>8.1712062256809048E-3</v>
      </c>
    </row>
    <row r="421" spans="1:3" x14ac:dyDescent="0.25">
      <c r="A421" s="1">
        <v>44798</v>
      </c>
      <c r="B421" s="2">
        <v>2613</v>
      </c>
      <c r="C421" s="4">
        <f>(GDX_data[[#This Row],[Último]]/B420)-1</f>
        <v>8.4909301428020001E-3</v>
      </c>
    </row>
    <row r="422" spans="1:3" x14ac:dyDescent="0.25">
      <c r="A422" s="1">
        <v>44799</v>
      </c>
      <c r="B422" s="2">
        <v>2490</v>
      </c>
      <c r="C422" s="4">
        <f>(GDX_data[[#This Row],[Último]]/B421)-1</f>
        <v>-4.707233065442018E-2</v>
      </c>
    </row>
    <row r="423" spans="1:3" x14ac:dyDescent="0.25">
      <c r="A423" s="1">
        <v>44802</v>
      </c>
      <c r="B423" s="2">
        <v>2461</v>
      </c>
      <c r="C423" s="4">
        <f>(GDX_data[[#This Row],[Último]]/B422)-1</f>
        <v>-1.1646586345381515E-2</v>
      </c>
    </row>
    <row r="424" spans="1:3" x14ac:dyDescent="0.25">
      <c r="A424" s="1">
        <v>44803</v>
      </c>
      <c r="B424" s="2">
        <v>2408</v>
      </c>
      <c r="C424" s="4">
        <f>(GDX_data[[#This Row],[Último]]/B423)-1</f>
        <v>-2.1535960991466929E-2</v>
      </c>
    </row>
    <row r="425" spans="1:3" x14ac:dyDescent="0.25">
      <c r="A425" s="1">
        <v>44804</v>
      </c>
      <c r="B425" s="2">
        <v>2380</v>
      </c>
      <c r="C425" s="4">
        <f>(GDX_data[[#This Row],[Último]]/B424)-1</f>
        <v>-1.1627906976744207E-2</v>
      </c>
    </row>
    <row r="426" spans="1:3" x14ac:dyDescent="0.25">
      <c r="A426" s="1">
        <v>44805</v>
      </c>
      <c r="B426" s="2">
        <v>2306</v>
      </c>
      <c r="C426" s="4">
        <f>(GDX_data[[#This Row],[Último]]/B425)-1</f>
        <v>-3.1092436974789917E-2</v>
      </c>
    </row>
    <row r="427" spans="1:3" x14ac:dyDescent="0.25">
      <c r="A427" s="1">
        <v>44806</v>
      </c>
      <c r="B427" s="2">
        <v>2379</v>
      </c>
      <c r="C427" s="4">
        <f>(GDX_data[[#This Row],[Último]]/B426)-1</f>
        <v>3.1656548135299278E-2</v>
      </c>
    </row>
    <row r="428" spans="1:3" x14ac:dyDescent="0.25">
      <c r="A428" s="1">
        <v>44810</v>
      </c>
      <c r="B428" s="2">
        <v>2344</v>
      </c>
      <c r="C428" s="4">
        <f>(GDX_data[[#This Row],[Último]]/B427)-1</f>
        <v>-1.4712063892391769E-2</v>
      </c>
    </row>
    <row r="429" spans="1:3" x14ac:dyDescent="0.25">
      <c r="A429" s="1">
        <v>44811</v>
      </c>
      <c r="B429" s="2">
        <v>2432</v>
      </c>
      <c r="C429" s="4">
        <f>(GDX_data[[#This Row],[Último]]/B428)-1</f>
        <v>3.7542662116040848E-2</v>
      </c>
    </row>
    <row r="430" spans="1:3" x14ac:dyDescent="0.25">
      <c r="A430" s="1">
        <v>44812</v>
      </c>
      <c r="B430" s="2">
        <v>2436</v>
      </c>
      <c r="C430" s="4">
        <f>(GDX_data[[#This Row],[Último]]/B429)-1</f>
        <v>1.6447368421053099E-3</v>
      </c>
    </row>
    <row r="431" spans="1:3" x14ac:dyDescent="0.25">
      <c r="A431" s="1">
        <v>44813</v>
      </c>
      <c r="B431" s="2">
        <v>2510</v>
      </c>
      <c r="C431" s="4">
        <f>(GDX_data[[#This Row],[Último]]/B430)-1</f>
        <v>3.0377668308702699E-2</v>
      </c>
    </row>
    <row r="432" spans="1:3" x14ac:dyDescent="0.25">
      <c r="A432" s="1">
        <v>44816</v>
      </c>
      <c r="B432" s="2">
        <v>2545</v>
      </c>
      <c r="C432" s="4">
        <f>(GDX_data[[#This Row],[Último]]/B431)-1</f>
        <v>1.3944223107569709E-2</v>
      </c>
    </row>
    <row r="433" spans="1:3" x14ac:dyDescent="0.25">
      <c r="A433" s="1">
        <v>44817</v>
      </c>
      <c r="B433" s="2">
        <v>2442</v>
      </c>
      <c r="C433" s="4">
        <f>(GDX_data[[#This Row],[Último]]/B432)-1</f>
        <v>-4.0471512770137497E-2</v>
      </c>
    </row>
    <row r="434" spans="1:3" x14ac:dyDescent="0.25">
      <c r="A434" s="1">
        <v>44818</v>
      </c>
      <c r="B434" s="2">
        <v>2447</v>
      </c>
      <c r="C434" s="4">
        <f>(GDX_data[[#This Row],[Último]]/B433)-1</f>
        <v>2.0475020475021477E-3</v>
      </c>
    </row>
    <row r="435" spans="1:3" x14ac:dyDescent="0.25">
      <c r="A435" s="1">
        <v>44819</v>
      </c>
      <c r="B435" s="2">
        <v>2374</v>
      </c>
      <c r="C435" s="4">
        <f>(GDX_data[[#This Row],[Último]]/B434)-1</f>
        <v>-2.9832447895382086E-2</v>
      </c>
    </row>
    <row r="436" spans="1:3" x14ac:dyDescent="0.25">
      <c r="A436" s="1">
        <v>44820</v>
      </c>
      <c r="B436" s="2">
        <v>2400</v>
      </c>
      <c r="C436" s="4">
        <f>(GDX_data[[#This Row],[Último]]/B435)-1</f>
        <v>1.0951979780960297E-2</v>
      </c>
    </row>
    <row r="437" spans="1:3" x14ac:dyDescent="0.25">
      <c r="A437" s="1">
        <v>44823</v>
      </c>
      <c r="B437" s="2">
        <v>2442</v>
      </c>
      <c r="C437" s="4">
        <f>(GDX_data[[#This Row],[Último]]/B436)-1</f>
        <v>1.7500000000000071E-2</v>
      </c>
    </row>
    <row r="438" spans="1:3" x14ac:dyDescent="0.25">
      <c r="A438" s="1">
        <v>44824</v>
      </c>
      <c r="B438" s="2">
        <v>2375</v>
      </c>
      <c r="C438" s="4">
        <f>(GDX_data[[#This Row],[Último]]/B437)-1</f>
        <v>-2.7436527436527469E-2</v>
      </c>
    </row>
    <row r="439" spans="1:3" x14ac:dyDescent="0.25">
      <c r="A439" s="1">
        <v>44825</v>
      </c>
      <c r="B439" s="2">
        <v>2383</v>
      </c>
      <c r="C439" s="4">
        <f>(GDX_data[[#This Row],[Último]]/B438)-1</f>
        <v>3.3684210526316871E-3</v>
      </c>
    </row>
    <row r="440" spans="1:3" x14ac:dyDescent="0.25">
      <c r="A440" s="1">
        <v>44826</v>
      </c>
      <c r="B440" s="2">
        <v>2374</v>
      </c>
      <c r="C440" s="4">
        <f>(GDX_data[[#This Row],[Último]]/B439)-1</f>
        <v>-3.7767519932857541E-3</v>
      </c>
    </row>
    <row r="441" spans="1:3" x14ac:dyDescent="0.25">
      <c r="A441" s="1">
        <v>44827</v>
      </c>
      <c r="B441" s="2">
        <v>2244</v>
      </c>
      <c r="C441" s="4">
        <f>(GDX_data[[#This Row],[Último]]/B440)-1</f>
        <v>-5.475989890480204E-2</v>
      </c>
    </row>
    <row r="442" spans="1:3" x14ac:dyDescent="0.25">
      <c r="A442" s="1">
        <v>44830</v>
      </c>
      <c r="B442" s="2">
        <v>2186</v>
      </c>
      <c r="C442" s="4">
        <f>(GDX_data[[#This Row],[Último]]/B441)-1</f>
        <v>-2.5846702317290582E-2</v>
      </c>
    </row>
    <row r="443" spans="1:3" x14ac:dyDescent="0.25">
      <c r="A443" s="1">
        <v>44831</v>
      </c>
      <c r="B443" s="2">
        <v>2200</v>
      </c>
      <c r="C443" s="4">
        <f>(GDX_data[[#This Row],[Último]]/B442)-1</f>
        <v>6.4043915827995956E-3</v>
      </c>
    </row>
    <row r="444" spans="1:3" x14ac:dyDescent="0.25">
      <c r="A444" s="1">
        <v>44832</v>
      </c>
      <c r="B444" s="2">
        <v>2358</v>
      </c>
      <c r="C444" s="4">
        <f>(GDX_data[[#This Row],[Último]]/B443)-1</f>
        <v>7.1818181818181781E-2</v>
      </c>
    </row>
    <row r="445" spans="1:3" x14ac:dyDescent="0.25">
      <c r="A445" s="1">
        <v>44833</v>
      </c>
      <c r="B445" s="2">
        <v>2369</v>
      </c>
      <c r="C445" s="4">
        <f>(GDX_data[[#This Row],[Último]]/B444)-1</f>
        <v>4.6649703138252896E-3</v>
      </c>
    </row>
    <row r="446" spans="1:3" x14ac:dyDescent="0.25">
      <c r="A446" s="1">
        <v>44834</v>
      </c>
      <c r="B446" s="2">
        <v>2412</v>
      </c>
      <c r="C446" s="4">
        <f>(GDX_data[[#This Row],[Último]]/B445)-1</f>
        <v>1.8151118615449491E-2</v>
      </c>
    </row>
    <row r="447" spans="1:3" x14ac:dyDescent="0.25">
      <c r="A447" s="1">
        <v>44837</v>
      </c>
      <c r="B447" s="2">
        <v>2504</v>
      </c>
      <c r="C447" s="4">
        <f>(GDX_data[[#This Row],[Último]]/B446)-1</f>
        <v>3.8142620232172408E-2</v>
      </c>
    </row>
    <row r="448" spans="1:3" x14ac:dyDescent="0.25">
      <c r="A448" s="1">
        <v>44838</v>
      </c>
      <c r="B448" s="2">
        <v>2575</v>
      </c>
      <c r="C448" s="4">
        <f>(GDX_data[[#This Row],[Último]]/B447)-1</f>
        <v>2.8354632587859419E-2</v>
      </c>
    </row>
    <row r="449" spans="1:3" x14ac:dyDescent="0.25">
      <c r="A449" s="1">
        <v>44839</v>
      </c>
      <c r="B449" s="2">
        <v>2537</v>
      </c>
      <c r="C449" s="4">
        <f>(GDX_data[[#This Row],[Último]]/B448)-1</f>
        <v>-1.4757281553398061E-2</v>
      </c>
    </row>
    <row r="450" spans="1:3" x14ac:dyDescent="0.25">
      <c r="A450" s="1">
        <v>44840</v>
      </c>
      <c r="B450" s="2">
        <v>2565</v>
      </c>
      <c r="C450" s="4">
        <f>(GDX_data[[#This Row],[Último]]/B449)-1</f>
        <v>1.1036657469452038E-2</v>
      </c>
    </row>
    <row r="451" spans="1:3" x14ac:dyDescent="0.25">
      <c r="A451" s="1">
        <v>44841</v>
      </c>
      <c r="B451" s="2">
        <v>2439</v>
      </c>
      <c r="C451" s="4">
        <f>(GDX_data[[#This Row],[Último]]/B450)-1</f>
        <v>-4.9122807017543901E-2</v>
      </c>
    </row>
    <row r="452" spans="1:3" x14ac:dyDescent="0.25">
      <c r="A452" s="1">
        <v>44844</v>
      </c>
      <c r="B452" s="2">
        <v>2402</v>
      </c>
      <c r="C452" s="4">
        <f>(GDX_data[[#This Row],[Último]]/B451)-1</f>
        <v>-1.5170151701517032E-2</v>
      </c>
    </row>
    <row r="453" spans="1:3" x14ac:dyDescent="0.25">
      <c r="A453" s="1">
        <v>44845</v>
      </c>
      <c r="B453" s="2">
        <v>2381</v>
      </c>
      <c r="C453" s="4">
        <f>(GDX_data[[#This Row],[Último]]/B452)-1</f>
        <v>-8.742714404662788E-3</v>
      </c>
    </row>
    <row r="454" spans="1:3" x14ac:dyDescent="0.25">
      <c r="A454" s="1">
        <v>44846</v>
      </c>
      <c r="B454" s="2">
        <v>2402</v>
      </c>
      <c r="C454" s="4">
        <f>(GDX_data[[#This Row],[Último]]/B453)-1</f>
        <v>8.8198236035279542E-3</v>
      </c>
    </row>
    <row r="455" spans="1:3" x14ac:dyDescent="0.25">
      <c r="A455" s="1">
        <v>44847</v>
      </c>
      <c r="B455" s="2">
        <v>2374</v>
      </c>
      <c r="C455" s="4">
        <f>(GDX_data[[#This Row],[Último]]/B454)-1</f>
        <v>-1.1656952539550347E-2</v>
      </c>
    </row>
    <row r="456" spans="1:3" x14ac:dyDescent="0.25">
      <c r="A456" s="1">
        <v>44848</v>
      </c>
      <c r="B456" s="2">
        <v>2272</v>
      </c>
      <c r="C456" s="4">
        <f>(GDX_data[[#This Row],[Último]]/B455)-1</f>
        <v>-4.2965459140690831E-2</v>
      </c>
    </row>
    <row r="457" spans="1:3" x14ac:dyDescent="0.25">
      <c r="A457" s="1">
        <v>44851</v>
      </c>
      <c r="B457" s="2">
        <v>2345</v>
      </c>
      <c r="C457" s="4">
        <f>(GDX_data[[#This Row],[Último]]/B456)-1</f>
        <v>3.2130281690140761E-2</v>
      </c>
    </row>
    <row r="458" spans="1:3" x14ac:dyDescent="0.25">
      <c r="A458" s="1">
        <v>44852</v>
      </c>
      <c r="B458" s="2">
        <v>2361</v>
      </c>
      <c r="C458" s="4">
        <f>(GDX_data[[#This Row],[Último]]/B457)-1</f>
        <v>6.8230277185501453E-3</v>
      </c>
    </row>
    <row r="459" spans="1:3" x14ac:dyDescent="0.25">
      <c r="A459" s="1">
        <v>44853</v>
      </c>
      <c r="B459" s="2">
        <v>2289</v>
      </c>
      <c r="C459" s="4">
        <f>(GDX_data[[#This Row],[Último]]/B458)-1</f>
        <v>-3.0495552731893305E-2</v>
      </c>
    </row>
    <row r="460" spans="1:3" x14ac:dyDescent="0.25">
      <c r="A460" s="1">
        <v>44854</v>
      </c>
      <c r="B460" s="2">
        <v>2318</v>
      </c>
      <c r="C460" s="4">
        <f>(GDX_data[[#This Row],[Último]]/B459)-1</f>
        <v>1.2669287898645631E-2</v>
      </c>
    </row>
    <row r="461" spans="1:3" x14ac:dyDescent="0.25">
      <c r="A461" s="1">
        <v>44855</v>
      </c>
      <c r="B461" s="2">
        <v>2434</v>
      </c>
      <c r="C461" s="4">
        <f>(GDX_data[[#This Row],[Último]]/B460)-1</f>
        <v>5.0043140638481365E-2</v>
      </c>
    </row>
    <row r="462" spans="1:3" x14ac:dyDescent="0.25">
      <c r="A462" s="1">
        <v>44858</v>
      </c>
      <c r="B462" s="2">
        <v>2393</v>
      </c>
      <c r="C462" s="4">
        <f>(GDX_data[[#This Row],[Último]]/B461)-1</f>
        <v>-1.6844700082169317E-2</v>
      </c>
    </row>
    <row r="463" spans="1:3" x14ac:dyDescent="0.25">
      <c r="A463" s="1">
        <v>44859</v>
      </c>
      <c r="B463" s="2">
        <v>2441</v>
      </c>
      <c r="C463" s="4">
        <f>(GDX_data[[#This Row],[Último]]/B462)-1</f>
        <v>2.0058503969912156E-2</v>
      </c>
    </row>
    <row r="464" spans="1:3" x14ac:dyDescent="0.25">
      <c r="A464" s="1">
        <v>44860</v>
      </c>
      <c r="B464" s="2">
        <v>2513</v>
      </c>
      <c r="C464" s="4">
        <f>(GDX_data[[#This Row],[Último]]/B463)-1</f>
        <v>2.9496108152396561E-2</v>
      </c>
    </row>
    <row r="465" spans="1:3" x14ac:dyDescent="0.25">
      <c r="A465" s="1">
        <v>44861</v>
      </c>
      <c r="B465" s="2">
        <v>2482</v>
      </c>
      <c r="C465" s="4">
        <f>(GDX_data[[#This Row],[Último]]/B464)-1</f>
        <v>-1.2335853561480259E-2</v>
      </c>
    </row>
    <row r="466" spans="1:3" x14ac:dyDescent="0.25">
      <c r="A466" s="1">
        <v>44862</v>
      </c>
      <c r="B466" s="2">
        <v>2472</v>
      </c>
      <c r="C466" s="4">
        <f>(GDX_data[[#This Row],[Último]]/B465)-1</f>
        <v>-4.0290088638195165E-3</v>
      </c>
    </row>
    <row r="467" spans="1:3" x14ac:dyDescent="0.25">
      <c r="A467" s="1">
        <v>44865</v>
      </c>
      <c r="B467" s="2">
        <v>2416</v>
      </c>
      <c r="C467" s="4">
        <f>(GDX_data[[#This Row],[Último]]/B466)-1</f>
        <v>-2.2653721682847849E-2</v>
      </c>
    </row>
    <row r="468" spans="1:3" x14ac:dyDescent="0.25">
      <c r="A468" s="1">
        <v>44866</v>
      </c>
      <c r="B468" s="2">
        <v>2470</v>
      </c>
      <c r="C468" s="4">
        <f>(GDX_data[[#This Row],[Último]]/B467)-1</f>
        <v>2.2350993377483475E-2</v>
      </c>
    </row>
    <row r="469" spans="1:3" x14ac:dyDescent="0.25">
      <c r="A469" s="1">
        <v>44867</v>
      </c>
      <c r="B469" s="2">
        <v>2325</v>
      </c>
      <c r="C469" s="4">
        <f>(GDX_data[[#This Row],[Último]]/B468)-1</f>
        <v>-5.8704453441295601E-2</v>
      </c>
    </row>
    <row r="470" spans="1:3" x14ac:dyDescent="0.25">
      <c r="A470" s="1">
        <v>44868</v>
      </c>
      <c r="B470" s="2">
        <v>2268</v>
      </c>
      <c r="C470" s="4">
        <f>(GDX_data[[#This Row],[Último]]/B469)-1</f>
        <v>-2.4516129032258083E-2</v>
      </c>
    </row>
    <row r="471" spans="1:3" x14ac:dyDescent="0.25">
      <c r="A471" s="1">
        <v>44869</v>
      </c>
      <c r="B471" s="2">
        <v>2495</v>
      </c>
      <c r="C471" s="4">
        <f>(GDX_data[[#This Row],[Último]]/B470)-1</f>
        <v>0.10008818342151682</v>
      </c>
    </row>
    <row r="472" spans="1:3" x14ac:dyDescent="0.25">
      <c r="A472" s="1">
        <v>44872</v>
      </c>
      <c r="B472" s="2">
        <v>2515</v>
      </c>
      <c r="C472" s="4">
        <f>(GDX_data[[#This Row],[Último]]/B471)-1</f>
        <v>8.0160320641282645E-3</v>
      </c>
    </row>
    <row r="473" spans="1:3" x14ac:dyDescent="0.25">
      <c r="A473" s="1">
        <v>44873</v>
      </c>
      <c r="B473" s="2">
        <v>2666</v>
      </c>
      <c r="C473" s="4">
        <f>(GDX_data[[#This Row],[Último]]/B472)-1</f>
        <v>6.0039761431411431E-2</v>
      </c>
    </row>
    <row r="474" spans="1:3" x14ac:dyDescent="0.25">
      <c r="A474" s="1">
        <v>44874</v>
      </c>
      <c r="B474" s="2">
        <v>2624</v>
      </c>
      <c r="C474" s="4">
        <f>(GDX_data[[#This Row],[Último]]/B473)-1</f>
        <v>-1.5753938484621144E-2</v>
      </c>
    </row>
    <row r="475" spans="1:3" x14ac:dyDescent="0.25">
      <c r="A475" s="1">
        <v>44875</v>
      </c>
      <c r="B475" s="2">
        <v>2821</v>
      </c>
      <c r="C475" s="4">
        <f>(GDX_data[[#This Row],[Último]]/B474)-1</f>
        <v>7.507621951219523E-2</v>
      </c>
    </row>
    <row r="476" spans="1:3" x14ac:dyDescent="0.25">
      <c r="A476" s="1">
        <v>44876</v>
      </c>
      <c r="B476" s="2">
        <v>2830</v>
      </c>
      <c r="C476" s="4">
        <f>(GDX_data[[#This Row],[Último]]/B475)-1</f>
        <v>3.1903580290677525E-3</v>
      </c>
    </row>
    <row r="477" spans="1:3" x14ac:dyDescent="0.25">
      <c r="A477" s="1">
        <v>44879</v>
      </c>
      <c r="B477" s="2">
        <v>2812</v>
      </c>
      <c r="C477" s="4">
        <f>(GDX_data[[#This Row],[Último]]/B476)-1</f>
        <v>-6.3604240282685298E-3</v>
      </c>
    </row>
    <row r="478" spans="1:3" x14ac:dyDescent="0.25">
      <c r="A478" s="1">
        <v>44880</v>
      </c>
      <c r="B478" s="2">
        <v>2785</v>
      </c>
      <c r="C478" s="4">
        <f>(GDX_data[[#This Row],[Último]]/B477)-1</f>
        <v>-9.6017069701280766E-3</v>
      </c>
    </row>
    <row r="479" spans="1:3" x14ac:dyDescent="0.25">
      <c r="A479" s="1">
        <v>44881</v>
      </c>
      <c r="B479" s="2">
        <v>2753</v>
      </c>
      <c r="C479" s="4">
        <f>(GDX_data[[#This Row],[Último]]/B478)-1</f>
        <v>-1.1490125673249585E-2</v>
      </c>
    </row>
    <row r="480" spans="1:3" x14ac:dyDescent="0.25">
      <c r="A480" s="1">
        <v>44882</v>
      </c>
      <c r="B480" s="2">
        <v>2712</v>
      </c>
      <c r="C480" s="4">
        <f>(GDX_data[[#This Row],[Último]]/B479)-1</f>
        <v>-1.4892844169996367E-2</v>
      </c>
    </row>
    <row r="481" spans="1:3" x14ac:dyDescent="0.25">
      <c r="A481" s="1">
        <v>44883</v>
      </c>
      <c r="B481" s="2">
        <v>2737</v>
      </c>
      <c r="C481" s="4">
        <f>(GDX_data[[#This Row],[Último]]/B480)-1</f>
        <v>9.2182890855456723E-3</v>
      </c>
    </row>
    <row r="482" spans="1:3" x14ac:dyDescent="0.25">
      <c r="A482" s="1">
        <v>44886</v>
      </c>
      <c r="B482" s="2">
        <v>2718</v>
      </c>
      <c r="C482" s="4">
        <f>(GDX_data[[#This Row],[Último]]/B481)-1</f>
        <v>-6.9419071976616342E-3</v>
      </c>
    </row>
    <row r="483" spans="1:3" x14ac:dyDescent="0.25">
      <c r="A483" s="1">
        <v>44887</v>
      </c>
      <c r="B483" s="2">
        <v>2826</v>
      </c>
      <c r="C483" s="4">
        <f>(GDX_data[[#This Row],[Último]]/B482)-1</f>
        <v>3.9735099337748325E-2</v>
      </c>
    </row>
    <row r="484" spans="1:3" x14ac:dyDescent="0.25">
      <c r="A484" s="1">
        <v>44888</v>
      </c>
      <c r="B484" s="2">
        <v>2871</v>
      </c>
      <c r="C484" s="4">
        <f>(GDX_data[[#This Row],[Último]]/B483)-1</f>
        <v>1.5923566878980999E-2</v>
      </c>
    </row>
    <row r="485" spans="1:3" x14ac:dyDescent="0.25">
      <c r="A485" s="1">
        <v>44890</v>
      </c>
      <c r="B485" s="2">
        <v>2844</v>
      </c>
      <c r="C485" s="4">
        <f>(GDX_data[[#This Row],[Último]]/B484)-1</f>
        <v>-9.4043887147335914E-3</v>
      </c>
    </row>
    <row r="486" spans="1:3" x14ac:dyDescent="0.25">
      <c r="A486" s="1">
        <v>44893</v>
      </c>
      <c r="B486" s="2">
        <v>2730</v>
      </c>
      <c r="C486" s="4">
        <f>(GDX_data[[#This Row],[Último]]/B485)-1</f>
        <v>-4.0084388185653963E-2</v>
      </c>
    </row>
    <row r="487" spans="1:3" x14ac:dyDescent="0.25">
      <c r="A487" s="1">
        <v>44894</v>
      </c>
      <c r="B487" s="2">
        <v>2815</v>
      </c>
      <c r="C487" s="4">
        <f>(GDX_data[[#This Row],[Último]]/B486)-1</f>
        <v>3.1135531135531025E-2</v>
      </c>
    </row>
    <row r="488" spans="1:3" x14ac:dyDescent="0.25">
      <c r="A488" s="1">
        <v>44895</v>
      </c>
      <c r="B488" s="2">
        <v>2905</v>
      </c>
      <c r="C488" s="4">
        <f>(GDX_data[[#This Row],[Último]]/B487)-1</f>
        <v>3.1971580817051537E-2</v>
      </c>
    </row>
    <row r="489" spans="1:3" x14ac:dyDescent="0.25">
      <c r="A489" s="1">
        <v>44896</v>
      </c>
      <c r="B489" s="2">
        <v>3004</v>
      </c>
      <c r="C489" s="4">
        <f>(GDX_data[[#This Row],[Último]]/B488)-1</f>
        <v>3.407917383821002E-2</v>
      </c>
    </row>
    <row r="490" spans="1:3" x14ac:dyDescent="0.25">
      <c r="A490" s="1">
        <v>44897</v>
      </c>
      <c r="B490" s="2">
        <v>2992</v>
      </c>
      <c r="C490" s="4">
        <f>(GDX_data[[#This Row],[Último]]/B489)-1</f>
        <v>-3.9946737683089761E-3</v>
      </c>
    </row>
    <row r="491" spans="1:3" x14ac:dyDescent="0.25">
      <c r="A491" s="1">
        <v>44900</v>
      </c>
      <c r="B491" s="2">
        <v>2884</v>
      </c>
      <c r="C491" s="4">
        <f>(GDX_data[[#This Row],[Último]]/B490)-1</f>
        <v>-3.6096256684492012E-2</v>
      </c>
    </row>
    <row r="492" spans="1:3" x14ac:dyDescent="0.25">
      <c r="A492" s="1">
        <v>44901</v>
      </c>
      <c r="B492" s="2">
        <v>2885</v>
      </c>
      <c r="C492" s="4">
        <f>(GDX_data[[#This Row],[Último]]/B491)-1</f>
        <v>3.4674063800288479E-4</v>
      </c>
    </row>
    <row r="493" spans="1:3" x14ac:dyDescent="0.25">
      <c r="A493" s="1">
        <v>44902</v>
      </c>
      <c r="B493" s="2">
        <v>2941</v>
      </c>
      <c r="C493" s="4">
        <f>(GDX_data[[#This Row],[Último]]/B492)-1</f>
        <v>1.9410745233968907E-2</v>
      </c>
    </row>
    <row r="494" spans="1:3" x14ac:dyDescent="0.25">
      <c r="A494" s="1">
        <v>44903</v>
      </c>
      <c r="B494" s="2">
        <v>2941</v>
      </c>
      <c r="C494" s="4">
        <f>(GDX_data[[#This Row],[Último]]/B493)-1</f>
        <v>0</v>
      </c>
    </row>
    <row r="495" spans="1:3" x14ac:dyDescent="0.25">
      <c r="A495" s="1">
        <v>44904</v>
      </c>
      <c r="B495" s="2">
        <v>2907</v>
      </c>
      <c r="C495" s="4">
        <f>(GDX_data[[#This Row],[Último]]/B494)-1</f>
        <v>-1.1560693641618491E-2</v>
      </c>
    </row>
    <row r="496" spans="1:3" x14ac:dyDescent="0.25">
      <c r="A496" s="1">
        <v>44907</v>
      </c>
      <c r="B496" s="2">
        <v>2894</v>
      </c>
      <c r="C496" s="4">
        <f>(GDX_data[[#This Row],[Último]]/B495)-1</f>
        <v>-4.4719642242861957E-3</v>
      </c>
    </row>
    <row r="497" spans="1:3" x14ac:dyDescent="0.25">
      <c r="A497" s="1">
        <v>44908</v>
      </c>
      <c r="B497" s="2">
        <v>2978</v>
      </c>
      <c r="C497" s="4">
        <f>(GDX_data[[#This Row],[Último]]/B496)-1</f>
        <v>2.9025570145127855E-2</v>
      </c>
    </row>
    <row r="498" spans="1:3" x14ac:dyDescent="0.25">
      <c r="A498" s="1">
        <v>44909</v>
      </c>
      <c r="B498" s="2">
        <v>2963</v>
      </c>
      <c r="C498" s="4">
        <f>(GDX_data[[#This Row],[Último]]/B497)-1</f>
        <v>-5.0369375419744289E-3</v>
      </c>
    </row>
    <row r="499" spans="1:3" x14ac:dyDescent="0.25">
      <c r="A499" s="1">
        <v>44910</v>
      </c>
      <c r="B499" s="2">
        <v>2832</v>
      </c>
      <c r="C499" s="4">
        <f>(GDX_data[[#This Row],[Último]]/B498)-1</f>
        <v>-4.4211947350658143E-2</v>
      </c>
    </row>
    <row r="500" spans="1:3" x14ac:dyDescent="0.25">
      <c r="A500" s="1">
        <v>44911</v>
      </c>
      <c r="B500" s="2">
        <v>2860</v>
      </c>
      <c r="C500" s="4">
        <f>(GDX_data[[#This Row],[Último]]/B499)-1</f>
        <v>9.8870056497175618E-3</v>
      </c>
    </row>
    <row r="501" spans="1:3" x14ac:dyDescent="0.25">
      <c r="A501" s="1">
        <v>44914</v>
      </c>
      <c r="B501" s="2">
        <v>2766</v>
      </c>
      <c r="C501" s="4">
        <f>(GDX_data[[#This Row],[Último]]/B500)-1</f>
        <v>-3.2867132867132831E-2</v>
      </c>
    </row>
    <row r="502" spans="1:3" x14ac:dyDescent="0.25">
      <c r="A502" s="1">
        <v>44915</v>
      </c>
      <c r="B502" s="2">
        <v>2874</v>
      </c>
      <c r="C502" s="4">
        <f>(GDX_data[[#This Row],[Último]]/B501)-1</f>
        <v>3.9045553145336198E-2</v>
      </c>
    </row>
    <row r="503" spans="1:3" x14ac:dyDescent="0.25">
      <c r="A503" s="1">
        <v>44916</v>
      </c>
      <c r="B503" s="2">
        <v>2908</v>
      </c>
      <c r="C503" s="4">
        <f>(GDX_data[[#This Row],[Último]]/B502)-1</f>
        <v>1.1830201809325036E-2</v>
      </c>
    </row>
    <row r="504" spans="1:3" x14ac:dyDescent="0.25">
      <c r="A504" s="1">
        <v>44917</v>
      </c>
      <c r="B504" s="2">
        <v>2876</v>
      </c>
      <c r="C504" s="4">
        <f>(GDX_data[[#This Row],[Último]]/B503)-1</f>
        <v>-1.1004126547455306E-2</v>
      </c>
    </row>
    <row r="505" spans="1:3" x14ac:dyDescent="0.25">
      <c r="A505" s="1">
        <v>44918</v>
      </c>
      <c r="B505" s="2">
        <v>2887</v>
      </c>
      <c r="C505" s="4">
        <f>(GDX_data[[#This Row],[Último]]/B504)-1</f>
        <v>3.8247566063978056E-3</v>
      </c>
    </row>
    <row r="506" spans="1:3" x14ac:dyDescent="0.25">
      <c r="A506" s="1">
        <v>44922</v>
      </c>
      <c r="B506" s="2">
        <v>2960</v>
      </c>
      <c r="C506" s="4">
        <f>(GDX_data[[#This Row],[Último]]/B505)-1</f>
        <v>2.5285763768617908E-2</v>
      </c>
    </row>
    <row r="507" spans="1:3" x14ac:dyDescent="0.25">
      <c r="A507" s="1">
        <v>44923</v>
      </c>
      <c r="B507" s="2">
        <v>2868</v>
      </c>
      <c r="C507" s="4">
        <f>(GDX_data[[#This Row],[Último]]/B506)-1</f>
        <v>-3.1081081081081097E-2</v>
      </c>
    </row>
    <row r="508" spans="1:3" x14ac:dyDescent="0.25">
      <c r="A508" s="1">
        <v>44924</v>
      </c>
      <c r="B508" s="2">
        <v>2882</v>
      </c>
      <c r="C508" s="4">
        <f>(GDX_data[[#This Row],[Último]]/B507)-1</f>
        <v>4.8814504881451448E-3</v>
      </c>
    </row>
    <row r="509" spans="1:3" x14ac:dyDescent="0.25">
      <c r="A509" s="1">
        <v>44925</v>
      </c>
      <c r="B509" s="2">
        <v>2866</v>
      </c>
      <c r="C509" s="4">
        <f>(GDX_data[[#This Row],[Último]]/B508)-1</f>
        <v>-5.5517002081887368E-3</v>
      </c>
    </row>
    <row r="510" spans="1:3" x14ac:dyDescent="0.25">
      <c r="A510" s="1">
        <v>44929</v>
      </c>
      <c r="B510" s="2">
        <v>2966</v>
      </c>
      <c r="C510" s="4">
        <f>(GDX_data[[#This Row],[Último]]/B509)-1</f>
        <v>3.4891835310537411E-2</v>
      </c>
    </row>
    <row r="511" spans="1:3" x14ac:dyDescent="0.25">
      <c r="A511" s="1">
        <v>44930</v>
      </c>
      <c r="B511" s="2">
        <v>3092</v>
      </c>
      <c r="C511" s="4">
        <f>(GDX_data[[#This Row],[Último]]/B510)-1</f>
        <v>4.2481456507080351E-2</v>
      </c>
    </row>
    <row r="512" spans="1:3" x14ac:dyDescent="0.25">
      <c r="A512" s="1">
        <v>44931</v>
      </c>
      <c r="B512" s="2">
        <v>3065</v>
      </c>
      <c r="C512" s="4">
        <f>(GDX_data[[#This Row],[Último]]/B511)-1</f>
        <v>-8.7322121604139769E-3</v>
      </c>
    </row>
    <row r="513" spans="1:3" x14ac:dyDescent="0.25">
      <c r="A513" s="1">
        <v>44932</v>
      </c>
      <c r="B513" s="2">
        <v>3156</v>
      </c>
      <c r="C513" s="4">
        <f>(GDX_data[[#This Row],[Último]]/B512)-1</f>
        <v>2.9690048939641001E-2</v>
      </c>
    </row>
    <row r="514" spans="1:3" x14ac:dyDescent="0.25">
      <c r="A514" s="1">
        <v>44935</v>
      </c>
      <c r="B514" s="2">
        <v>3126</v>
      </c>
      <c r="C514" s="4">
        <f>(GDX_data[[#This Row],[Último]]/B513)-1</f>
        <v>-9.5057034220532577E-3</v>
      </c>
    </row>
    <row r="515" spans="1:3" x14ac:dyDescent="0.25">
      <c r="A515" s="1">
        <v>44936</v>
      </c>
      <c r="B515" s="2">
        <v>3184</v>
      </c>
      <c r="C515" s="4">
        <f>(GDX_data[[#This Row],[Último]]/B514)-1</f>
        <v>1.8554062699936091E-2</v>
      </c>
    </row>
    <row r="516" spans="1:3" x14ac:dyDescent="0.25">
      <c r="A516" s="1">
        <v>44937</v>
      </c>
      <c r="B516" s="2">
        <v>3157</v>
      </c>
      <c r="C516" s="4">
        <f>(GDX_data[[#This Row],[Último]]/B515)-1</f>
        <v>-8.4798994974873976E-3</v>
      </c>
    </row>
    <row r="517" spans="1:3" x14ac:dyDescent="0.25">
      <c r="A517" s="1">
        <v>44938</v>
      </c>
      <c r="B517" s="2">
        <v>3218</v>
      </c>
      <c r="C517" s="4">
        <f>(GDX_data[[#This Row],[Último]]/B516)-1</f>
        <v>1.9322141273360849E-2</v>
      </c>
    </row>
    <row r="518" spans="1:3" x14ac:dyDescent="0.25">
      <c r="A518" s="1">
        <v>44939</v>
      </c>
      <c r="B518" s="2">
        <v>3265</v>
      </c>
      <c r="C518" s="4">
        <f>(GDX_data[[#This Row],[Último]]/B517)-1</f>
        <v>1.4605344934742082E-2</v>
      </c>
    </row>
    <row r="519" spans="1:3" x14ac:dyDescent="0.25">
      <c r="A519" s="1">
        <v>44943</v>
      </c>
      <c r="B519" s="2">
        <v>3152</v>
      </c>
      <c r="C519" s="4">
        <f>(GDX_data[[#This Row],[Último]]/B518)-1</f>
        <v>-3.4609494640122529E-2</v>
      </c>
    </row>
    <row r="520" spans="1:3" x14ac:dyDescent="0.25">
      <c r="A520" s="1">
        <v>44944</v>
      </c>
      <c r="B520" s="2">
        <v>3121</v>
      </c>
      <c r="C520" s="4">
        <f>(GDX_data[[#This Row],[Último]]/B519)-1</f>
        <v>-9.8350253807106824E-3</v>
      </c>
    </row>
    <row r="521" spans="1:3" x14ac:dyDescent="0.25">
      <c r="A521" s="1">
        <v>44945</v>
      </c>
      <c r="B521" s="2">
        <v>3202</v>
      </c>
      <c r="C521" s="4">
        <f>(GDX_data[[#This Row],[Último]]/B520)-1</f>
        <v>2.5953220121755827E-2</v>
      </c>
    </row>
    <row r="522" spans="1:3" x14ac:dyDescent="0.25">
      <c r="A522" s="1">
        <v>44946</v>
      </c>
      <c r="B522" s="2">
        <v>3242</v>
      </c>
      <c r="C522" s="4">
        <f>(GDX_data[[#This Row],[Último]]/B521)-1</f>
        <v>1.2492192379762734E-2</v>
      </c>
    </row>
    <row r="523" spans="1:3" x14ac:dyDescent="0.25">
      <c r="A523" s="1">
        <v>44949</v>
      </c>
      <c r="B523" s="2">
        <v>3240</v>
      </c>
      <c r="C523" s="4">
        <f>(GDX_data[[#This Row],[Último]]/B522)-1</f>
        <v>-6.1690314620599374E-4</v>
      </c>
    </row>
    <row r="524" spans="1:3" x14ac:dyDescent="0.25">
      <c r="A524" s="1">
        <v>44950</v>
      </c>
      <c r="B524" s="2">
        <v>3273</v>
      </c>
      <c r="C524" s="4">
        <f>(GDX_data[[#This Row],[Último]]/B523)-1</f>
        <v>1.0185185185185075E-2</v>
      </c>
    </row>
    <row r="525" spans="1:3" x14ac:dyDescent="0.25">
      <c r="A525" s="1">
        <v>44951</v>
      </c>
      <c r="B525" s="2">
        <v>3327</v>
      </c>
      <c r="C525" s="4">
        <f>(GDX_data[[#This Row],[Último]]/B524)-1</f>
        <v>1.6498625114573784E-2</v>
      </c>
    </row>
    <row r="526" spans="1:3" x14ac:dyDescent="0.25">
      <c r="A526" s="1">
        <v>44952</v>
      </c>
      <c r="B526" s="2">
        <v>3276</v>
      </c>
      <c r="C526" s="4">
        <f>(GDX_data[[#This Row],[Último]]/B525)-1</f>
        <v>-1.5329125338142457E-2</v>
      </c>
    </row>
    <row r="527" spans="1:3" x14ac:dyDescent="0.25">
      <c r="A527" s="1">
        <v>44953</v>
      </c>
      <c r="B527" s="2">
        <v>3231</v>
      </c>
      <c r="C527" s="4">
        <f>(GDX_data[[#This Row],[Último]]/B526)-1</f>
        <v>-1.3736263736263687E-2</v>
      </c>
    </row>
    <row r="528" spans="1:3" x14ac:dyDescent="0.25">
      <c r="A528" s="1">
        <v>44956</v>
      </c>
      <c r="B528" s="2">
        <v>3183</v>
      </c>
      <c r="C528" s="4">
        <f>(GDX_data[[#This Row],[Último]]/B527)-1</f>
        <v>-1.4856081708449431E-2</v>
      </c>
    </row>
    <row r="529" spans="1:3" x14ac:dyDescent="0.25">
      <c r="A529" s="1">
        <v>44957</v>
      </c>
      <c r="B529" s="2">
        <v>3202</v>
      </c>
      <c r="C529" s="4">
        <f>(GDX_data[[#This Row],[Último]]/B528)-1</f>
        <v>5.9692114357523529E-3</v>
      </c>
    </row>
    <row r="530" spans="1:3" x14ac:dyDescent="0.25">
      <c r="A530" s="1">
        <v>44958</v>
      </c>
      <c r="B530" s="2">
        <v>3274</v>
      </c>
      <c r="C530" s="4">
        <f>(GDX_data[[#This Row],[Último]]/B529)-1</f>
        <v>2.24859462835727E-2</v>
      </c>
    </row>
    <row r="531" spans="1:3" x14ac:dyDescent="0.25">
      <c r="A531" s="1">
        <v>44959</v>
      </c>
      <c r="B531" s="2">
        <v>3172</v>
      </c>
      <c r="C531" s="4">
        <f>(GDX_data[[#This Row],[Último]]/B530)-1</f>
        <v>-3.11545510079414E-2</v>
      </c>
    </row>
    <row r="532" spans="1:3" x14ac:dyDescent="0.25">
      <c r="A532" s="1">
        <v>44960</v>
      </c>
      <c r="B532" s="2">
        <v>3032</v>
      </c>
      <c r="C532" s="4">
        <f>(GDX_data[[#This Row],[Último]]/B531)-1</f>
        <v>-4.4136191677175307E-2</v>
      </c>
    </row>
    <row r="533" spans="1:3" x14ac:dyDescent="0.25">
      <c r="A533" s="1">
        <v>44963</v>
      </c>
      <c r="B533" s="2">
        <v>3021</v>
      </c>
      <c r="C533" s="4">
        <f>(GDX_data[[#This Row],[Último]]/B532)-1</f>
        <v>-3.6279683377308247E-3</v>
      </c>
    </row>
    <row r="534" spans="1:3" x14ac:dyDescent="0.25">
      <c r="A534" s="1">
        <v>44964</v>
      </c>
      <c r="B534" s="2">
        <v>3063</v>
      </c>
      <c r="C534" s="4">
        <f>(GDX_data[[#This Row],[Último]]/B533)-1</f>
        <v>1.3902681231380276E-2</v>
      </c>
    </row>
    <row r="535" spans="1:3" x14ac:dyDescent="0.25">
      <c r="A535" s="1">
        <v>44965</v>
      </c>
      <c r="B535" s="2">
        <v>3037</v>
      </c>
      <c r="C535" s="4">
        <f>(GDX_data[[#This Row],[Último]]/B534)-1</f>
        <v>-8.488410055501161E-3</v>
      </c>
    </row>
    <row r="536" spans="1:3" x14ac:dyDescent="0.25">
      <c r="A536" s="1">
        <v>44966</v>
      </c>
      <c r="B536" s="2">
        <v>2976</v>
      </c>
      <c r="C536" s="4">
        <f>(GDX_data[[#This Row],[Último]]/B535)-1</f>
        <v>-2.0085610800131715E-2</v>
      </c>
    </row>
    <row r="537" spans="1:3" x14ac:dyDescent="0.25">
      <c r="A537" s="1">
        <v>44967</v>
      </c>
      <c r="B537" s="2">
        <v>2962</v>
      </c>
      <c r="C537" s="4">
        <f>(GDX_data[[#This Row],[Último]]/B536)-1</f>
        <v>-4.7043010752688685E-3</v>
      </c>
    </row>
    <row r="538" spans="1:3" x14ac:dyDescent="0.25">
      <c r="A538" s="1">
        <v>44970</v>
      </c>
      <c r="B538" s="2">
        <v>2958</v>
      </c>
      <c r="C538" s="4">
        <f>(GDX_data[[#This Row],[Último]]/B537)-1</f>
        <v>-1.3504388926400823E-3</v>
      </c>
    </row>
    <row r="539" spans="1:3" x14ac:dyDescent="0.25">
      <c r="A539" s="1">
        <v>44971</v>
      </c>
      <c r="B539" s="2">
        <v>2964</v>
      </c>
      <c r="C539" s="4">
        <f>(GDX_data[[#This Row],[Último]]/B538)-1</f>
        <v>2.0283975659229903E-3</v>
      </c>
    </row>
    <row r="540" spans="1:3" x14ac:dyDescent="0.25">
      <c r="A540" s="1">
        <v>44972</v>
      </c>
      <c r="B540" s="2">
        <v>2879</v>
      </c>
      <c r="C540" s="4">
        <f>(GDX_data[[#This Row],[Último]]/B539)-1</f>
        <v>-2.8677462887989225E-2</v>
      </c>
    </row>
    <row r="541" spans="1:3" x14ac:dyDescent="0.25">
      <c r="A541" s="1">
        <v>44973</v>
      </c>
      <c r="B541" s="2">
        <v>2867</v>
      </c>
      <c r="C541" s="4">
        <f>(GDX_data[[#This Row],[Último]]/B540)-1</f>
        <v>-4.1681139284474034E-3</v>
      </c>
    </row>
    <row r="542" spans="1:3" x14ac:dyDescent="0.25">
      <c r="A542" s="1">
        <v>44974</v>
      </c>
      <c r="B542" s="2">
        <v>2841</v>
      </c>
      <c r="C542" s="4">
        <f>(GDX_data[[#This Row],[Último]]/B541)-1</f>
        <v>-9.0687129403558275E-3</v>
      </c>
    </row>
    <row r="543" spans="1:3" x14ac:dyDescent="0.25">
      <c r="A543" s="1">
        <v>44978</v>
      </c>
      <c r="B543" s="2">
        <v>2811</v>
      </c>
      <c r="C543" s="4">
        <f>(GDX_data[[#This Row],[Último]]/B542)-1</f>
        <v>-1.0559662090813049E-2</v>
      </c>
    </row>
    <row r="544" spans="1:3" x14ac:dyDescent="0.25">
      <c r="A544" s="1">
        <v>44979</v>
      </c>
      <c r="B544" s="2">
        <v>2745</v>
      </c>
      <c r="C544" s="4">
        <f>(GDX_data[[#This Row],[Último]]/B543)-1</f>
        <v>-2.3479188900747072E-2</v>
      </c>
    </row>
    <row r="545" spans="1:3" x14ac:dyDescent="0.25">
      <c r="A545" s="1">
        <v>44980</v>
      </c>
      <c r="B545" s="2">
        <v>2731</v>
      </c>
      <c r="C545" s="4">
        <f>(GDX_data[[#This Row],[Último]]/B544)-1</f>
        <v>-5.1001821493624755E-3</v>
      </c>
    </row>
    <row r="546" spans="1:3" x14ac:dyDescent="0.25">
      <c r="A546" s="1">
        <v>44981</v>
      </c>
      <c r="B546" s="2">
        <v>2699</v>
      </c>
      <c r="C546" s="4">
        <f>(GDX_data[[#This Row],[Último]]/B545)-1</f>
        <v>-1.1717319663127057E-2</v>
      </c>
    </row>
    <row r="547" spans="1:3" x14ac:dyDescent="0.25">
      <c r="A547" s="1">
        <v>44984</v>
      </c>
      <c r="B547" s="2">
        <v>2720</v>
      </c>
      <c r="C547" s="4">
        <f>(GDX_data[[#This Row],[Último]]/B546)-1</f>
        <v>7.7806595035199155E-3</v>
      </c>
    </row>
    <row r="548" spans="1:3" x14ac:dyDescent="0.25">
      <c r="A548" s="1">
        <v>44985</v>
      </c>
      <c r="B548" s="2">
        <v>2751</v>
      </c>
      <c r="C548" s="4">
        <f>(GDX_data[[#This Row],[Último]]/B547)-1</f>
        <v>1.1397058823529482E-2</v>
      </c>
    </row>
    <row r="549" spans="1:3" x14ac:dyDescent="0.25">
      <c r="A549" s="1">
        <v>44986</v>
      </c>
      <c r="B549" s="2">
        <v>2811</v>
      </c>
      <c r="C549" s="4">
        <f>(GDX_data[[#This Row],[Último]]/B548)-1</f>
        <v>2.1810250817884347E-2</v>
      </c>
    </row>
    <row r="550" spans="1:3" x14ac:dyDescent="0.25">
      <c r="A550" s="1">
        <v>44987</v>
      </c>
      <c r="B550" s="2">
        <v>2817</v>
      </c>
      <c r="C550" s="4">
        <f>(GDX_data[[#This Row],[Último]]/B549)-1</f>
        <v>2.1344717182496531E-3</v>
      </c>
    </row>
    <row r="551" spans="1:3" x14ac:dyDescent="0.25">
      <c r="A551" s="1">
        <v>44988</v>
      </c>
      <c r="B551" s="2">
        <v>2863</v>
      </c>
      <c r="C551" s="4">
        <f>(GDX_data[[#This Row],[Último]]/B550)-1</f>
        <v>1.6329428470003515E-2</v>
      </c>
    </row>
    <row r="552" spans="1:3" x14ac:dyDescent="0.25">
      <c r="A552" s="1">
        <v>44991</v>
      </c>
      <c r="B552" s="2">
        <v>2808</v>
      </c>
      <c r="C552" s="4">
        <f>(GDX_data[[#This Row],[Último]]/B551)-1</f>
        <v>-1.9210618232623156E-2</v>
      </c>
    </row>
    <row r="553" spans="1:3" x14ac:dyDescent="0.25">
      <c r="A553" s="1">
        <v>44992</v>
      </c>
      <c r="B553" s="2">
        <v>2689</v>
      </c>
      <c r="C553" s="4">
        <f>(GDX_data[[#This Row],[Último]]/B552)-1</f>
        <v>-4.2378917378917413E-2</v>
      </c>
    </row>
    <row r="554" spans="1:3" x14ac:dyDescent="0.25">
      <c r="A554" s="1">
        <v>44993</v>
      </c>
      <c r="B554" s="2">
        <v>2681</v>
      </c>
      <c r="C554" s="4">
        <f>(GDX_data[[#This Row],[Último]]/B553)-1</f>
        <v>-2.9750836742283848E-3</v>
      </c>
    </row>
    <row r="555" spans="1:3" x14ac:dyDescent="0.25">
      <c r="A555" s="1">
        <v>44994</v>
      </c>
      <c r="B555" s="2">
        <v>2668</v>
      </c>
      <c r="C555" s="4">
        <f>(GDX_data[[#This Row],[Último]]/B554)-1</f>
        <v>-4.8489369638194946E-3</v>
      </c>
    </row>
    <row r="556" spans="1:3" x14ac:dyDescent="0.25">
      <c r="A556" s="1">
        <v>44995</v>
      </c>
      <c r="B556" s="2">
        <v>2720</v>
      </c>
      <c r="C556" s="4">
        <f>(GDX_data[[#This Row],[Último]]/B555)-1</f>
        <v>1.9490254872563728E-2</v>
      </c>
    </row>
    <row r="557" spans="1:3" x14ac:dyDescent="0.25">
      <c r="A557" s="1">
        <v>44998</v>
      </c>
      <c r="B557" s="2">
        <v>2910</v>
      </c>
      <c r="C557" s="4">
        <f>(GDX_data[[#This Row],[Último]]/B556)-1</f>
        <v>6.9852941176470562E-2</v>
      </c>
    </row>
    <row r="558" spans="1:3" x14ac:dyDescent="0.25">
      <c r="A558" s="1">
        <v>44999</v>
      </c>
      <c r="B558" s="2">
        <v>2933</v>
      </c>
      <c r="C558" s="4">
        <f>(GDX_data[[#This Row],[Último]]/B557)-1</f>
        <v>7.9037800687284943E-3</v>
      </c>
    </row>
    <row r="559" spans="1:3" x14ac:dyDescent="0.25">
      <c r="A559" s="1">
        <v>45000</v>
      </c>
      <c r="B559" s="2">
        <v>2933</v>
      </c>
      <c r="C559" s="4">
        <f>(GDX_data[[#This Row],[Último]]/B558)-1</f>
        <v>0</v>
      </c>
    </row>
    <row r="560" spans="1:3" x14ac:dyDescent="0.25">
      <c r="A560" s="1">
        <v>45001</v>
      </c>
      <c r="B560" s="2">
        <v>2916</v>
      </c>
      <c r="C560" s="4">
        <f>(GDX_data[[#This Row],[Último]]/B559)-1</f>
        <v>-5.7961131946812072E-3</v>
      </c>
    </row>
    <row r="561" spans="1:3" x14ac:dyDescent="0.25">
      <c r="A561" s="1">
        <v>45002</v>
      </c>
      <c r="B561" s="2">
        <v>3058</v>
      </c>
      <c r="C561" s="4">
        <f>(GDX_data[[#This Row],[Último]]/B560)-1</f>
        <v>4.8696844993141308E-2</v>
      </c>
    </row>
    <row r="562" spans="1:3" x14ac:dyDescent="0.25">
      <c r="A562" s="1">
        <v>45005</v>
      </c>
      <c r="B562" s="2">
        <v>3111</v>
      </c>
      <c r="C562" s="4">
        <f>(GDX_data[[#This Row],[Último]]/B561)-1</f>
        <v>1.7331589274035331E-2</v>
      </c>
    </row>
    <row r="563" spans="1:3" x14ac:dyDescent="0.25">
      <c r="A563" s="1">
        <v>45006</v>
      </c>
      <c r="B563" s="2">
        <v>3000</v>
      </c>
      <c r="C563" s="4">
        <f>(GDX_data[[#This Row],[Último]]/B562)-1</f>
        <v>-3.567984570877536E-2</v>
      </c>
    </row>
    <row r="564" spans="1:3" x14ac:dyDescent="0.25">
      <c r="A564" s="1">
        <v>45007</v>
      </c>
      <c r="B564" s="2">
        <v>3056</v>
      </c>
      <c r="C564" s="4">
        <f>(GDX_data[[#This Row],[Último]]/B563)-1</f>
        <v>1.8666666666666609E-2</v>
      </c>
    </row>
    <row r="565" spans="1:3" x14ac:dyDescent="0.25">
      <c r="A565" s="1">
        <v>45008</v>
      </c>
      <c r="B565" s="2">
        <v>3131</v>
      </c>
      <c r="C565" s="4">
        <f>(GDX_data[[#This Row],[Último]]/B564)-1</f>
        <v>2.4541884816754012E-2</v>
      </c>
    </row>
    <row r="566" spans="1:3" x14ac:dyDescent="0.25">
      <c r="A566" s="1">
        <v>45009</v>
      </c>
      <c r="B566" s="2">
        <v>3155</v>
      </c>
      <c r="C566" s="4">
        <f>(GDX_data[[#This Row],[Último]]/B565)-1</f>
        <v>7.6652826572980448E-3</v>
      </c>
    </row>
    <row r="567" spans="1:3" x14ac:dyDescent="0.25">
      <c r="A567" s="1">
        <v>45012</v>
      </c>
      <c r="B567" s="2">
        <v>3152</v>
      </c>
      <c r="C567" s="4">
        <f>(GDX_data[[#This Row],[Último]]/B566)-1</f>
        <v>-9.5087163232965288E-4</v>
      </c>
    </row>
    <row r="568" spans="1:3" x14ac:dyDescent="0.25">
      <c r="A568" s="1">
        <v>45013</v>
      </c>
      <c r="B568" s="2">
        <v>3231</v>
      </c>
      <c r="C568" s="4">
        <f>(GDX_data[[#This Row],[Último]]/B567)-1</f>
        <v>2.5063451776649703E-2</v>
      </c>
    </row>
    <row r="569" spans="1:3" x14ac:dyDescent="0.25">
      <c r="A569" s="1">
        <v>45014</v>
      </c>
      <c r="B569" s="2">
        <v>3204</v>
      </c>
      <c r="C569" s="4">
        <f>(GDX_data[[#This Row],[Último]]/B568)-1</f>
        <v>-8.3565459610027704E-3</v>
      </c>
    </row>
    <row r="570" spans="1:3" x14ac:dyDescent="0.25">
      <c r="A570" s="1">
        <v>45015</v>
      </c>
      <c r="B570" s="2">
        <v>3252</v>
      </c>
      <c r="C570" s="4">
        <f>(GDX_data[[#This Row],[Último]]/B569)-1</f>
        <v>1.4981273408239737E-2</v>
      </c>
    </row>
    <row r="571" spans="1:3" x14ac:dyDescent="0.25">
      <c r="A571" s="1">
        <v>45016</v>
      </c>
      <c r="B571" s="2">
        <v>3235</v>
      </c>
      <c r="C571" s="4">
        <f>(GDX_data[[#This Row],[Último]]/B570)-1</f>
        <v>-5.2275522755227399E-3</v>
      </c>
    </row>
    <row r="572" spans="1:3" x14ac:dyDescent="0.25">
      <c r="A572" s="1">
        <v>45019</v>
      </c>
      <c r="B572" s="2">
        <v>3308</v>
      </c>
      <c r="C572" s="4">
        <f>(GDX_data[[#This Row],[Último]]/B571)-1</f>
        <v>2.256568778979906E-2</v>
      </c>
    </row>
    <row r="573" spans="1:3" x14ac:dyDescent="0.25">
      <c r="A573" s="1">
        <v>45020</v>
      </c>
      <c r="B573" s="2">
        <v>3419</v>
      </c>
      <c r="C573" s="4">
        <f>(GDX_data[[#This Row],[Último]]/B572)-1</f>
        <v>3.355501813784767E-2</v>
      </c>
    </row>
    <row r="574" spans="1:3" x14ac:dyDescent="0.25">
      <c r="A574" s="1">
        <v>45021</v>
      </c>
      <c r="B574" s="2">
        <v>3434</v>
      </c>
      <c r="C574" s="4">
        <f>(GDX_data[[#This Row],[Último]]/B573)-1</f>
        <v>4.3872477332553839E-3</v>
      </c>
    </row>
    <row r="575" spans="1:3" x14ac:dyDescent="0.25">
      <c r="A575" s="1">
        <v>45022</v>
      </c>
      <c r="B575" s="2">
        <v>3443</v>
      </c>
      <c r="C575" s="4">
        <f>(GDX_data[[#This Row],[Último]]/B574)-1</f>
        <v>2.6208503203262179E-3</v>
      </c>
    </row>
    <row r="576" spans="1:3" x14ac:dyDescent="0.25">
      <c r="A576" s="1">
        <v>45026</v>
      </c>
      <c r="B576" s="2">
        <v>3399</v>
      </c>
      <c r="C576" s="4">
        <f>(GDX_data[[#This Row],[Último]]/B575)-1</f>
        <v>-1.2779552715655007E-2</v>
      </c>
    </row>
    <row r="577" spans="1:3" x14ac:dyDescent="0.25">
      <c r="A577" s="1">
        <v>45027</v>
      </c>
      <c r="B577" s="2">
        <v>3458</v>
      </c>
      <c r="C577" s="4">
        <f>(GDX_data[[#This Row],[Último]]/B576)-1</f>
        <v>1.7358046484259981E-2</v>
      </c>
    </row>
    <row r="578" spans="1:3" x14ac:dyDescent="0.25">
      <c r="A578" s="1">
        <v>45028</v>
      </c>
      <c r="B578" s="2">
        <v>3492</v>
      </c>
      <c r="C578" s="4">
        <f>(GDX_data[[#This Row],[Último]]/B577)-1</f>
        <v>9.8322729901676453E-3</v>
      </c>
    </row>
    <row r="579" spans="1:3" x14ac:dyDescent="0.25">
      <c r="A579" s="1">
        <v>45029</v>
      </c>
      <c r="B579" s="2">
        <v>3587</v>
      </c>
      <c r="C579" s="4">
        <f>(GDX_data[[#This Row],[Último]]/B578)-1</f>
        <v>2.7205040091637933E-2</v>
      </c>
    </row>
    <row r="580" spans="1:3" x14ac:dyDescent="0.25">
      <c r="A580" s="1">
        <v>45030</v>
      </c>
      <c r="B580" s="2">
        <v>3509</v>
      </c>
      <c r="C580" s="4">
        <f>(GDX_data[[#This Row],[Último]]/B579)-1</f>
        <v>-2.1745190967382255E-2</v>
      </c>
    </row>
    <row r="581" spans="1:3" x14ac:dyDescent="0.25">
      <c r="A581" s="1">
        <v>45033</v>
      </c>
      <c r="B581" s="2">
        <v>3430</v>
      </c>
      <c r="C581" s="4">
        <f>(GDX_data[[#This Row],[Último]]/B580)-1</f>
        <v>-2.2513536620119678E-2</v>
      </c>
    </row>
    <row r="582" spans="1:3" x14ac:dyDescent="0.25">
      <c r="A582" s="1">
        <v>45034</v>
      </c>
      <c r="B582" s="2">
        <v>3455</v>
      </c>
      <c r="C582" s="4">
        <f>(GDX_data[[#This Row],[Último]]/B581)-1</f>
        <v>7.2886297376093534E-3</v>
      </c>
    </row>
    <row r="583" spans="1:3" x14ac:dyDescent="0.25">
      <c r="A583" s="1">
        <v>45035</v>
      </c>
      <c r="B583" s="2">
        <v>3408</v>
      </c>
      <c r="C583" s="4">
        <f>(GDX_data[[#This Row],[Último]]/B582)-1</f>
        <v>-1.3603473227206897E-2</v>
      </c>
    </row>
    <row r="584" spans="1:3" x14ac:dyDescent="0.25">
      <c r="A584" s="1">
        <v>45036</v>
      </c>
      <c r="B584" s="2">
        <v>3406</v>
      </c>
      <c r="C584" s="4">
        <f>(GDX_data[[#This Row],[Último]]/B583)-1</f>
        <v>-5.8685446009387743E-4</v>
      </c>
    </row>
    <row r="585" spans="1:3" x14ac:dyDescent="0.25">
      <c r="A585" s="1">
        <v>45037</v>
      </c>
      <c r="B585" s="2">
        <v>3361</v>
      </c>
      <c r="C585" s="4">
        <f>(GDX_data[[#This Row],[Último]]/B584)-1</f>
        <v>-1.3211978860833806E-2</v>
      </c>
    </row>
    <row r="586" spans="1:3" x14ac:dyDescent="0.25">
      <c r="A586" s="1">
        <v>45040</v>
      </c>
      <c r="B586" s="2">
        <v>3371</v>
      </c>
      <c r="C586" s="4">
        <f>(GDX_data[[#This Row],[Último]]/B585)-1</f>
        <v>2.9753049687593069E-3</v>
      </c>
    </row>
    <row r="587" spans="1:3" x14ac:dyDescent="0.25">
      <c r="A587" s="1">
        <v>45041</v>
      </c>
      <c r="B587" s="2">
        <v>3377</v>
      </c>
      <c r="C587" s="4">
        <f>(GDX_data[[#This Row],[Último]]/B586)-1</f>
        <v>1.7798872738059579E-3</v>
      </c>
    </row>
    <row r="588" spans="1:3" x14ac:dyDescent="0.25">
      <c r="A588" s="1">
        <v>45042</v>
      </c>
      <c r="B588" s="2">
        <v>3333</v>
      </c>
      <c r="C588" s="4">
        <f>(GDX_data[[#This Row],[Último]]/B587)-1</f>
        <v>-1.3029315960912058E-2</v>
      </c>
    </row>
    <row r="589" spans="1:3" x14ac:dyDescent="0.25">
      <c r="A589" s="1">
        <v>45043</v>
      </c>
      <c r="B589" s="2">
        <v>3385</v>
      </c>
      <c r="C589" s="4">
        <f>(GDX_data[[#This Row],[Último]]/B588)-1</f>
        <v>1.5601560156015548E-2</v>
      </c>
    </row>
    <row r="590" spans="1:3" x14ac:dyDescent="0.25">
      <c r="A590" s="1">
        <v>45044</v>
      </c>
      <c r="B590" s="2">
        <v>3358</v>
      </c>
      <c r="C590" s="4">
        <f>(GDX_data[[#This Row],[Último]]/B589)-1</f>
        <v>-7.976366322008821E-3</v>
      </c>
    </row>
    <row r="591" spans="1:3" x14ac:dyDescent="0.25">
      <c r="A591" s="1">
        <v>45047</v>
      </c>
      <c r="B591" s="2">
        <v>3341</v>
      </c>
      <c r="C591" s="4">
        <f>(GDX_data[[#This Row],[Último]]/B590)-1</f>
        <v>-5.0625372245384215E-3</v>
      </c>
    </row>
    <row r="592" spans="1:3" x14ac:dyDescent="0.25">
      <c r="A592" s="1">
        <v>45048</v>
      </c>
      <c r="B592" s="2">
        <v>3474</v>
      </c>
      <c r="C592" s="4">
        <f>(GDX_data[[#This Row],[Último]]/B591)-1</f>
        <v>3.9808440586650784E-2</v>
      </c>
    </row>
    <row r="593" spans="1:3" x14ac:dyDescent="0.25">
      <c r="A593" s="1">
        <v>45049</v>
      </c>
      <c r="B593" s="2">
        <v>3486</v>
      </c>
      <c r="C593" s="4">
        <f>(GDX_data[[#This Row],[Último]]/B592)-1</f>
        <v>3.4542314335059832E-3</v>
      </c>
    </row>
    <row r="594" spans="1:3" x14ac:dyDescent="0.25">
      <c r="A594" s="1">
        <v>45050</v>
      </c>
      <c r="B594" s="2">
        <v>3569</v>
      </c>
      <c r="C594" s="4">
        <f>(GDX_data[[#This Row],[Último]]/B593)-1</f>
        <v>2.3809523809523725E-2</v>
      </c>
    </row>
    <row r="595" spans="1:3" x14ac:dyDescent="0.25">
      <c r="A595" s="1">
        <v>45051</v>
      </c>
      <c r="B595" s="2">
        <v>3540</v>
      </c>
      <c r="C595" s="4">
        <f>(GDX_data[[#This Row],[Último]]/B594)-1</f>
        <v>-8.1255253572429798E-3</v>
      </c>
    </row>
    <row r="596" spans="1:3" x14ac:dyDescent="0.25">
      <c r="A596" s="1">
        <v>45054</v>
      </c>
      <c r="B596" s="2">
        <v>3536</v>
      </c>
      <c r="C596" s="4">
        <f>(GDX_data[[#This Row],[Último]]/B595)-1</f>
        <v>-1.1299435028248039E-3</v>
      </c>
    </row>
    <row r="597" spans="1:3" x14ac:dyDescent="0.25">
      <c r="A597" s="1">
        <v>45055</v>
      </c>
      <c r="B597" s="2">
        <v>3525</v>
      </c>
      <c r="C597" s="4">
        <f>(GDX_data[[#This Row],[Último]]/B596)-1</f>
        <v>-3.1108597285067763E-3</v>
      </c>
    </row>
    <row r="598" spans="1:3" x14ac:dyDescent="0.25">
      <c r="A598" s="1">
        <v>45056</v>
      </c>
      <c r="B598" s="2">
        <v>3500</v>
      </c>
      <c r="C598" s="4">
        <f>(GDX_data[[#This Row],[Último]]/B597)-1</f>
        <v>-7.0921985815602939E-3</v>
      </c>
    </row>
    <row r="599" spans="1:3" x14ac:dyDescent="0.25">
      <c r="A599" s="1">
        <v>45057</v>
      </c>
      <c r="B599" s="2">
        <v>3352</v>
      </c>
      <c r="C599" s="4">
        <f>(GDX_data[[#This Row],[Último]]/B598)-1</f>
        <v>-4.228571428571426E-2</v>
      </c>
    </row>
    <row r="600" spans="1:3" x14ac:dyDescent="0.25">
      <c r="A600" s="1">
        <v>45058</v>
      </c>
      <c r="B600" s="2">
        <v>3360</v>
      </c>
      <c r="C600" s="4">
        <f>(GDX_data[[#This Row],[Último]]/B599)-1</f>
        <v>2.3866348448686736E-3</v>
      </c>
    </row>
    <row r="601" spans="1:3" x14ac:dyDescent="0.25">
      <c r="A601" s="1">
        <v>45061</v>
      </c>
      <c r="B601" s="2">
        <v>3391</v>
      </c>
      <c r="C601" s="4">
        <f>(GDX_data[[#This Row],[Último]]/B600)-1</f>
        <v>9.2261904761905544E-3</v>
      </c>
    </row>
    <row r="602" spans="1:3" x14ac:dyDescent="0.25">
      <c r="A602" s="1">
        <v>45062</v>
      </c>
      <c r="B602" s="2">
        <v>3301</v>
      </c>
      <c r="C602" s="4">
        <f>(GDX_data[[#This Row],[Último]]/B601)-1</f>
        <v>-2.6540843409023851E-2</v>
      </c>
    </row>
    <row r="603" spans="1:3" x14ac:dyDescent="0.25">
      <c r="A603" s="1">
        <v>45063</v>
      </c>
      <c r="B603" s="2">
        <v>3273</v>
      </c>
      <c r="C603" s="4">
        <f>(GDX_data[[#This Row],[Último]]/B602)-1</f>
        <v>-8.4822780975462031E-3</v>
      </c>
    </row>
    <row r="604" spans="1:3" x14ac:dyDescent="0.25">
      <c r="A604" s="1">
        <v>45064</v>
      </c>
      <c r="B604" s="2">
        <v>3188</v>
      </c>
      <c r="C604" s="4">
        <f>(GDX_data[[#This Row],[Último]]/B603)-1</f>
        <v>-2.5970058050717948E-2</v>
      </c>
    </row>
    <row r="605" spans="1:3" x14ac:dyDescent="0.25">
      <c r="A605" s="1">
        <v>45065</v>
      </c>
      <c r="B605" s="2">
        <v>3216</v>
      </c>
      <c r="C605" s="4">
        <f>(GDX_data[[#This Row],[Último]]/B604)-1</f>
        <v>8.7829360100375453E-3</v>
      </c>
    </row>
    <row r="606" spans="1:3" x14ac:dyDescent="0.25">
      <c r="A606" s="1">
        <v>45068</v>
      </c>
      <c r="B606" s="2">
        <v>3187</v>
      </c>
      <c r="C606" s="4">
        <f>(GDX_data[[#This Row],[Último]]/B605)-1</f>
        <v>-9.0174129353234322E-3</v>
      </c>
    </row>
    <row r="607" spans="1:3" x14ac:dyDescent="0.25">
      <c r="A607" s="1">
        <v>45069</v>
      </c>
      <c r="B607" s="2">
        <v>3165</v>
      </c>
      <c r="C607" s="4">
        <f>(GDX_data[[#This Row],[Último]]/B606)-1</f>
        <v>-6.9030436146846341E-3</v>
      </c>
    </row>
    <row r="608" spans="1:3" x14ac:dyDescent="0.25">
      <c r="A608" s="1">
        <v>45070</v>
      </c>
      <c r="B608" s="2">
        <v>3092</v>
      </c>
      <c r="C608" s="4">
        <f>(GDX_data[[#This Row],[Último]]/B607)-1</f>
        <v>-2.3064770932069489E-2</v>
      </c>
    </row>
    <row r="609" spans="1:3" x14ac:dyDescent="0.25">
      <c r="A609" s="1">
        <v>45071</v>
      </c>
      <c r="B609" s="2">
        <v>3026</v>
      </c>
      <c r="C609" s="4">
        <f>(GDX_data[[#This Row],[Último]]/B608)-1</f>
        <v>-2.1345407503234104E-2</v>
      </c>
    </row>
    <row r="610" spans="1:3" x14ac:dyDescent="0.25">
      <c r="A610" s="1">
        <v>45072</v>
      </c>
      <c r="B610" s="2">
        <v>3041</v>
      </c>
      <c r="C610" s="4">
        <f>(GDX_data[[#This Row],[Último]]/B609)-1</f>
        <v>4.957038995373475E-3</v>
      </c>
    </row>
    <row r="611" spans="1:3" x14ac:dyDescent="0.25">
      <c r="A611" s="1">
        <v>45076</v>
      </c>
      <c r="B611" s="2">
        <v>3020</v>
      </c>
      <c r="C611" s="4">
        <f>(GDX_data[[#This Row],[Último]]/B610)-1</f>
        <v>-6.9056231502795384E-3</v>
      </c>
    </row>
    <row r="612" spans="1:3" x14ac:dyDescent="0.25">
      <c r="A612" s="1">
        <v>45077</v>
      </c>
      <c r="B612" s="2">
        <v>3091</v>
      </c>
      <c r="C612" s="4">
        <f>(GDX_data[[#This Row],[Último]]/B611)-1</f>
        <v>2.3509933774834346E-2</v>
      </c>
    </row>
    <row r="613" spans="1:3" x14ac:dyDescent="0.25">
      <c r="A613" s="1">
        <v>45078</v>
      </c>
      <c r="B613" s="2">
        <v>3201</v>
      </c>
      <c r="C613" s="4">
        <f>(GDX_data[[#This Row],[Último]]/B612)-1</f>
        <v>3.5587188612099752E-2</v>
      </c>
    </row>
    <row r="614" spans="1:3" x14ac:dyDescent="0.25">
      <c r="A614" s="1">
        <v>45079</v>
      </c>
      <c r="B614" s="2">
        <v>3141</v>
      </c>
      <c r="C614" s="4">
        <f>(GDX_data[[#This Row],[Último]]/B613)-1</f>
        <v>-1.8744142455482615E-2</v>
      </c>
    </row>
    <row r="615" spans="1:3" x14ac:dyDescent="0.25">
      <c r="A615" s="1">
        <v>45082</v>
      </c>
      <c r="B615" s="2">
        <v>3156</v>
      </c>
      <c r="C615" s="4">
        <f>(GDX_data[[#This Row],[Último]]/B614)-1</f>
        <v>4.7755491881567025E-3</v>
      </c>
    </row>
    <row r="616" spans="1:3" x14ac:dyDescent="0.25">
      <c r="A616" s="1">
        <v>45083</v>
      </c>
      <c r="B616" s="2">
        <v>3163</v>
      </c>
      <c r="C616" s="4">
        <f>(GDX_data[[#This Row],[Último]]/B615)-1</f>
        <v>2.2179974651457268E-3</v>
      </c>
    </row>
    <row r="617" spans="1:3" x14ac:dyDescent="0.25">
      <c r="A617" s="1">
        <v>45084</v>
      </c>
      <c r="B617" s="2">
        <v>3105</v>
      </c>
      <c r="C617" s="4">
        <f>(GDX_data[[#This Row],[Último]]/B616)-1</f>
        <v>-1.8337021814732846E-2</v>
      </c>
    </row>
    <row r="618" spans="1:3" x14ac:dyDescent="0.25">
      <c r="A618" s="1">
        <v>45085</v>
      </c>
      <c r="B618" s="2">
        <v>3154</v>
      </c>
      <c r="C618" s="4">
        <f>(GDX_data[[#This Row],[Último]]/B617)-1</f>
        <v>1.5780998389693934E-2</v>
      </c>
    </row>
    <row r="619" spans="1:3" x14ac:dyDescent="0.25">
      <c r="A619" s="1">
        <v>45086</v>
      </c>
      <c r="B619" s="2">
        <v>3108</v>
      </c>
      <c r="C619" s="4">
        <f>(GDX_data[[#This Row],[Último]]/B618)-1</f>
        <v>-1.4584654407102104E-2</v>
      </c>
    </row>
    <row r="620" spans="1:3" x14ac:dyDescent="0.25">
      <c r="A620" s="1">
        <v>45089</v>
      </c>
      <c r="B620" s="2">
        <v>3124</v>
      </c>
      <c r="C620" s="4">
        <f>(GDX_data[[#This Row],[Último]]/B619)-1</f>
        <v>5.1480051480050637E-3</v>
      </c>
    </row>
    <row r="621" spans="1:3" x14ac:dyDescent="0.25">
      <c r="A621" s="1">
        <v>45090</v>
      </c>
      <c r="B621" s="2">
        <v>3089</v>
      </c>
      <c r="C621" s="4">
        <f>(GDX_data[[#This Row],[Último]]/B620)-1</f>
        <v>-1.1203585147247064E-2</v>
      </c>
    </row>
    <row r="622" spans="1:3" x14ac:dyDescent="0.25">
      <c r="A622" s="1">
        <v>45091</v>
      </c>
      <c r="B622" s="2">
        <v>3087</v>
      </c>
      <c r="C622" s="4">
        <f>(GDX_data[[#This Row],[Último]]/B621)-1</f>
        <v>-6.4745872450633346E-4</v>
      </c>
    </row>
    <row r="623" spans="1:3" x14ac:dyDescent="0.25">
      <c r="A623" s="1">
        <v>45092</v>
      </c>
      <c r="B623" s="2">
        <v>3100</v>
      </c>
      <c r="C623" s="4">
        <f>(GDX_data[[#This Row],[Último]]/B622)-1</f>
        <v>4.21120829284094E-3</v>
      </c>
    </row>
    <row r="624" spans="1:3" x14ac:dyDescent="0.25">
      <c r="A624" s="1">
        <v>45093</v>
      </c>
      <c r="B624" s="2">
        <v>3139</v>
      </c>
      <c r="C624" s="4">
        <f>(GDX_data[[#This Row],[Último]]/B623)-1</f>
        <v>1.2580645161290427E-2</v>
      </c>
    </row>
    <row r="625" spans="1:3" x14ac:dyDescent="0.25">
      <c r="A625" s="1">
        <v>45097</v>
      </c>
      <c r="B625" s="2">
        <v>3014</v>
      </c>
      <c r="C625" s="4">
        <f>(GDX_data[[#This Row],[Último]]/B624)-1</f>
        <v>-3.9821599235425276E-2</v>
      </c>
    </row>
    <row r="626" spans="1:3" x14ac:dyDescent="0.25">
      <c r="A626" s="1">
        <v>45098</v>
      </c>
      <c r="B626" s="2">
        <v>3006</v>
      </c>
      <c r="C626" s="4">
        <f>(GDX_data[[#This Row],[Último]]/B625)-1</f>
        <v>-2.6542800265427768E-3</v>
      </c>
    </row>
    <row r="627" spans="1:3" x14ac:dyDescent="0.25">
      <c r="A627" s="1">
        <v>45099</v>
      </c>
      <c r="B627" s="2">
        <v>2985</v>
      </c>
      <c r="C627" s="4">
        <f>(GDX_data[[#This Row],[Último]]/B626)-1</f>
        <v>-6.986027944111739E-3</v>
      </c>
    </row>
    <row r="628" spans="1:3" x14ac:dyDescent="0.25">
      <c r="A628" s="1">
        <v>45100</v>
      </c>
      <c r="B628" s="2">
        <v>2979</v>
      </c>
      <c r="C628" s="4">
        <f>(GDX_data[[#This Row],[Último]]/B627)-1</f>
        <v>-2.0100502512563345E-3</v>
      </c>
    </row>
    <row r="629" spans="1:3" x14ac:dyDescent="0.25">
      <c r="A629" s="1">
        <v>45103</v>
      </c>
      <c r="B629" s="2">
        <v>3007</v>
      </c>
      <c r="C629" s="4">
        <f>(GDX_data[[#This Row],[Último]]/B628)-1</f>
        <v>9.3991272239006829E-3</v>
      </c>
    </row>
    <row r="630" spans="1:3" x14ac:dyDescent="0.25">
      <c r="A630" s="1">
        <v>45104</v>
      </c>
      <c r="B630" s="2">
        <v>2965</v>
      </c>
      <c r="C630" s="4">
        <f>(GDX_data[[#This Row],[Último]]/B629)-1</f>
        <v>-1.396740937811769E-2</v>
      </c>
    </row>
    <row r="631" spans="1:3" x14ac:dyDescent="0.25">
      <c r="A631" s="1">
        <v>45105</v>
      </c>
      <c r="B631" s="2">
        <v>2922</v>
      </c>
      <c r="C631" s="4">
        <f>(GDX_data[[#This Row],[Último]]/B630)-1</f>
        <v>-1.4502529510961204E-2</v>
      </c>
    </row>
    <row r="632" spans="1:3" x14ac:dyDescent="0.25">
      <c r="A632" s="1">
        <v>45106</v>
      </c>
      <c r="B632" s="2">
        <v>2962</v>
      </c>
      <c r="C632" s="4">
        <f>(GDX_data[[#This Row],[Último]]/B631)-1</f>
        <v>1.3689253935660561E-2</v>
      </c>
    </row>
    <row r="633" spans="1:3" x14ac:dyDescent="0.25">
      <c r="A633" s="1">
        <v>45107</v>
      </c>
      <c r="B633" s="2">
        <v>3011</v>
      </c>
      <c r="C633" s="4">
        <f>(GDX_data[[#This Row],[Último]]/B632)-1</f>
        <v>1.6542876434841425E-2</v>
      </c>
    </row>
    <row r="634" spans="1:3" x14ac:dyDescent="0.25">
      <c r="A634" s="1">
        <v>45110</v>
      </c>
      <c r="B634" s="2">
        <v>3069</v>
      </c>
      <c r="C634" s="4">
        <f>(GDX_data[[#This Row],[Último]]/B633)-1</f>
        <v>1.9262703420790395E-2</v>
      </c>
    </row>
    <row r="635" spans="1:3" x14ac:dyDescent="0.25">
      <c r="A635" s="1">
        <v>45112</v>
      </c>
      <c r="B635" s="2">
        <v>2983</v>
      </c>
      <c r="C635" s="4">
        <f>(GDX_data[[#This Row],[Último]]/B634)-1</f>
        <v>-2.8022157054415131E-2</v>
      </c>
    </row>
    <row r="636" spans="1:3" x14ac:dyDescent="0.25">
      <c r="A636" s="1">
        <v>45113</v>
      </c>
      <c r="B636" s="2">
        <v>2907</v>
      </c>
      <c r="C636" s="4">
        <f>(GDX_data[[#This Row],[Último]]/B635)-1</f>
        <v>-2.5477707006369421E-2</v>
      </c>
    </row>
    <row r="637" spans="1:3" x14ac:dyDescent="0.25">
      <c r="A637" s="1">
        <v>45114</v>
      </c>
      <c r="B637" s="2">
        <v>2945</v>
      </c>
      <c r="C637" s="4">
        <f>(GDX_data[[#This Row],[Último]]/B636)-1</f>
        <v>1.3071895424836555E-2</v>
      </c>
    </row>
    <row r="638" spans="1:3" x14ac:dyDescent="0.25">
      <c r="A638" s="1">
        <v>45117</v>
      </c>
      <c r="B638" s="2">
        <v>3004</v>
      </c>
      <c r="C638" s="4">
        <f>(GDX_data[[#This Row],[Último]]/B637)-1</f>
        <v>2.0033955857385433E-2</v>
      </c>
    </row>
    <row r="639" spans="1:3" x14ac:dyDescent="0.25">
      <c r="A639" s="1">
        <v>45118</v>
      </c>
      <c r="B639" s="2">
        <v>3024</v>
      </c>
      <c r="C639" s="4">
        <f>(GDX_data[[#This Row],[Último]]/B638)-1</f>
        <v>6.6577896138482195E-3</v>
      </c>
    </row>
    <row r="640" spans="1:3" x14ac:dyDescent="0.25">
      <c r="A640" s="1">
        <v>45119</v>
      </c>
      <c r="B640" s="2">
        <v>3182</v>
      </c>
      <c r="C640" s="4">
        <f>(GDX_data[[#This Row],[Último]]/B639)-1</f>
        <v>5.2248677248677211E-2</v>
      </c>
    </row>
    <row r="641" spans="1:3" x14ac:dyDescent="0.25">
      <c r="A641" s="1">
        <v>45120</v>
      </c>
      <c r="B641" s="2">
        <v>3219</v>
      </c>
      <c r="C641" s="4">
        <f>(GDX_data[[#This Row],[Último]]/B640)-1</f>
        <v>1.1627906976744207E-2</v>
      </c>
    </row>
    <row r="642" spans="1:3" x14ac:dyDescent="0.25">
      <c r="A642" s="1">
        <v>45121</v>
      </c>
      <c r="B642" s="2">
        <v>3196</v>
      </c>
      <c r="C642" s="4">
        <f>(GDX_data[[#This Row],[Último]]/B641)-1</f>
        <v>-7.1450761105933402E-3</v>
      </c>
    </row>
    <row r="643" spans="1:3" x14ac:dyDescent="0.25">
      <c r="A643" s="1">
        <v>45124</v>
      </c>
      <c r="B643" s="2">
        <v>3197</v>
      </c>
      <c r="C643" s="4">
        <f>(GDX_data[[#This Row],[Último]]/B642)-1</f>
        <v>3.1289111389232183E-4</v>
      </c>
    </row>
    <row r="644" spans="1:3" x14ac:dyDescent="0.25">
      <c r="A644" s="1">
        <v>45125</v>
      </c>
      <c r="B644" s="2">
        <v>3263</v>
      </c>
      <c r="C644" s="4">
        <f>(GDX_data[[#This Row],[Último]]/B643)-1</f>
        <v>2.0644354081951866E-2</v>
      </c>
    </row>
    <row r="645" spans="1:3" x14ac:dyDescent="0.25">
      <c r="A645" s="1">
        <v>45126</v>
      </c>
      <c r="B645" s="2">
        <v>3236</v>
      </c>
      <c r="C645" s="4">
        <f>(GDX_data[[#This Row],[Último]]/B644)-1</f>
        <v>-8.2745939319645023E-3</v>
      </c>
    </row>
    <row r="646" spans="1:3" x14ac:dyDescent="0.25">
      <c r="A646" s="1">
        <v>45127</v>
      </c>
      <c r="B646" s="2">
        <v>3139</v>
      </c>
      <c r="C646" s="4">
        <f>(GDX_data[[#This Row],[Último]]/B645)-1</f>
        <v>-2.9975278121137205E-2</v>
      </c>
    </row>
    <row r="647" spans="1:3" x14ac:dyDescent="0.25">
      <c r="A647" s="1">
        <v>45128</v>
      </c>
      <c r="B647" s="2">
        <v>3149</v>
      </c>
      <c r="C647" s="4">
        <f>(GDX_data[[#This Row],[Último]]/B646)-1</f>
        <v>3.1857279388340931E-3</v>
      </c>
    </row>
    <row r="648" spans="1:3" x14ac:dyDescent="0.25">
      <c r="A648" s="1">
        <v>45131</v>
      </c>
      <c r="B648" s="2">
        <v>3129</v>
      </c>
      <c r="C648" s="4">
        <f>(GDX_data[[#This Row],[Último]]/B647)-1</f>
        <v>-6.3512226103524805E-3</v>
      </c>
    </row>
    <row r="649" spans="1:3" x14ac:dyDescent="0.25">
      <c r="A649" s="1">
        <v>45132</v>
      </c>
      <c r="B649" s="2">
        <v>3178</v>
      </c>
      <c r="C649" s="4">
        <f>(GDX_data[[#This Row],[Último]]/B648)-1</f>
        <v>1.5659955257270708E-2</v>
      </c>
    </row>
    <row r="650" spans="1:3" x14ac:dyDescent="0.25">
      <c r="A650" s="1">
        <v>45133</v>
      </c>
      <c r="B650" s="2">
        <v>3165</v>
      </c>
      <c r="C650" s="4">
        <f>(GDX_data[[#This Row],[Último]]/B649)-1</f>
        <v>-4.0906230333542792E-3</v>
      </c>
    </row>
    <row r="651" spans="1:3" x14ac:dyDescent="0.25">
      <c r="A651" s="1">
        <v>45134</v>
      </c>
      <c r="B651" s="2">
        <v>3035</v>
      </c>
      <c r="C651" s="4">
        <f>(GDX_data[[#This Row],[Último]]/B650)-1</f>
        <v>-4.1074249605055346E-2</v>
      </c>
    </row>
    <row r="652" spans="1:3" x14ac:dyDescent="0.25">
      <c r="A652" s="1">
        <v>45135</v>
      </c>
      <c r="B652" s="2">
        <v>3072</v>
      </c>
      <c r="C652" s="4">
        <f>(GDX_data[[#This Row],[Último]]/B651)-1</f>
        <v>1.2191103789126911E-2</v>
      </c>
    </row>
    <row r="653" spans="1:3" x14ac:dyDescent="0.25">
      <c r="A653" s="1">
        <v>45138</v>
      </c>
      <c r="B653" s="2">
        <v>3141</v>
      </c>
      <c r="C653" s="4">
        <f>(GDX_data[[#This Row],[Último]]/B652)-1</f>
        <v>2.24609375E-2</v>
      </c>
    </row>
    <row r="654" spans="1:3" x14ac:dyDescent="0.25">
      <c r="A654" s="1">
        <v>45139</v>
      </c>
      <c r="B654" s="2">
        <v>3023</v>
      </c>
      <c r="C654" s="4">
        <f>(GDX_data[[#This Row],[Último]]/B653)-1</f>
        <v>-3.7567653613498897E-2</v>
      </c>
    </row>
    <row r="655" spans="1:3" x14ac:dyDescent="0.25">
      <c r="A655" s="1">
        <v>45140</v>
      </c>
      <c r="B655" s="2">
        <v>2928</v>
      </c>
      <c r="C655" s="4">
        <f>(GDX_data[[#This Row],[Último]]/B654)-1</f>
        <v>-3.1425736023817374E-2</v>
      </c>
    </row>
    <row r="656" spans="1:3" x14ac:dyDescent="0.25">
      <c r="A656" s="1">
        <v>45141</v>
      </c>
      <c r="B656" s="2">
        <v>2928</v>
      </c>
      <c r="C656" s="4">
        <f>(GDX_data[[#This Row],[Último]]/B655)-1</f>
        <v>0</v>
      </c>
    </row>
    <row r="657" spans="1:3" x14ac:dyDescent="0.25">
      <c r="A657" s="1">
        <v>45142</v>
      </c>
      <c r="B657" s="2">
        <v>2956</v>
      </c>
      <c r="C657" s="4">
        <f>(GDX_data[[#This Row],[Último]]/B656)-1</f>
        <v>9.5628415300545999E-3</v>
      </c>
    </row>
    <row r="658" spans="1:3" x14ac:dyDescent="0.25">
      <c r="A658" s="1">
        <v>45145</v>
      </c>
      <c r="B658" s="2">
        <v>2933</v>
      </c>
      <c r="C658" s="4">
        <f>(GDX_data[[#This Row],[Último]]/B657)-1</f>
        <v>-7.7807848443842698E-3</v>
      </c>
    </row>
    <row r="659" spans="1:3" x14ac:dyDescent="0.25">
      <c r="A659" s="1">
        <v>45146</v>
      </c>
      <c r="B659" s="2">
        <v>2908</v>
      </c>
      <c r="C659" s="4">
        <f>(GDX_data[[#This Row],[Último]]/B658)-1</f>
        <v>-8.5236958745311675E-3</v>
      </c>
    </row>
    <row r="660" spans="1:3" x14ac:dyDescent="0.25">
      <c r="A660" s="1">
        <v>45147</v>
      </c>
      <c r="B660" s="2">
        <v>2913</v>
      </c>
      <c r="C660" s="4">
        <f>(GDX_data[[#This Row],[Último]]/B659)-1</f>
        <v>1.7193947730398396E-3</v>
      </c>
    </row>
    <row r="661" spans="1:3" x14ac:dyDescent="0.25">
      <c r="A661" s="1">
        <v>45148</v>
      </c>
      <c r="B661" s="2">
        <v>2917</v>
      </c>
      <c r="C661" s="4">
        <f>(GDX_data[[#This Row],[Último]]/B660)-1</f>
        <v>1.373154823206324E-3</v>
      </c>
    </row>
    <row r="662" spans="1:3" x14ac:dyDescent="0.25">
      <c r="A662" s="1">
        <v>45149</v>
      </c>
      <c r="B662" s="2">
        <v>2946</v>
      </c>
      <c r="C662" s="4">
        <f>(GDX_data[[#This Row],[Último]]/B661)-1</f>
        <v>9.9417209461776235E-3</v>
      </c>
    </row>
    <row r="663" spans="1:3" x14ac:dyDescent="0.25">
      <c r="A663" s="1">
        <v>45152</v>
      </c>
      <c r="B663" s="2">
        <v>2895</v>
      </c>
      <c r="C663" s="4">
        <f>(GDX_data[[#This Row],[Último]]/B662)-1</f>
        <v>-1.731160896130346E-2</v>
      </c>
    </row>
    <row r="664" spans="1:3" x14ac:dyDescent="0.25">
      <c r="A664" s="1">
        <v>45153</v>
      </c>
      <c r="B664" s="2">
        <v>2821</v>
      </c>
      <c r="C664" s="4">
        <f>(GDX_data[[#This Row],[Último]]/B663)-1</f>
        <v>-2.5561312607944697E-2</v>
      </c>
    </row>
    <row r="665" spans="1:3" x14ac:dyDescent="0.25">
      <c r="A665" s="1">
        <v>45154</v>
      </c>
      <c r="B665" s="2">
        <v>2783</v>
      </c>
      <c r="C665" s="4">
        <f>(GDX_data[[#This Row],[Último]]/B664)-1</f>
        <v>-1.3470400567174745E-2</v>
      </c>
    </row>
    <row r="666" spans="1:3" x14ac:dyDescent="0.25">
      <c r="A666" s="1">
        <v>45155</v>
      </c>
      <c r="B666" s="2">
        <v>2761</v>
      </c>
      <c r="C666" s="4">
        <f>(GDX_data[[#This Row],[Último]]/B665)-1</f>
        <v>-7.905138339920903E-3</v>
      </c>
    </row>
    <row r="667" spans="1:3" x14ac:dyDescent="0.25">
      <c r="A667" s="1">
        <v>45156</v>
      </c>
      <c r="B667" s="2">
        <v>2745</v>
      </c>
      <c r="C667" s="4">
        <f>(GDX_data[[#This Row],[Último]]/B666)-1</f>
        <v>-5.7950018109380608E-3</v>
      </c>
    </row>
    <row r="668" spans="1:3" x14ac:dyDescent="0.25">
      <c r="A668" s="1">
        <v>45159</v>
      </c>
      <c r="B668" s="2">
        <v>2771</v>
      </c>
      <c r="C668" s="4">
        <f>(GDX_data[[#This Row],[Último]]/B667)-1</f>
        <v>9.4717668488160101E-3</v>
      </c>
    </row>
    <row r="669" spans="1:3" x14ac:dyDescent="0.25">
      <c r="A669" s="1">
        <v>45160</v>
      </c>
      <c r="B669" s="2">
        <v>2795</v>
      </c>
      <c r="C669" s="4">
        <f>(GDX_data[[#This Row],[Último]]/B668)-1</f>
        <v>8.6611331649224521E-3</v>
      </c>
    </row>
    <row r="670" spans="1:3" x14ac:dyDescent="0.25">
      <c r="A670" s="1">
        <v>45161</v>
      </c>
      <c r="B670" s="2">
        <v>2874</v>
      </c>
      <c r="C670" s="4">
        <f>(GDX_data[[#This Row],[Último]]/B669)-1</f>
        <v>2.8264758497316578E-2</v>
      </c>
    </row>
    <row r="671" spans="1:3" x14ac:dyDescent="0.25">
      <c r="A671" s="1">
        <v>45162</v>
      </c>
      <c r="B671" s="2">
        <v>2868</v>
      </c>
      <c r="C671" s="4">
        <f>(GDX_data[[#This Row],[Último]]/B670)-1</f>
        <v>-2.0876826722338038E-3</v>
      </c>
    </row>
    <row r="672" spans="1:3" x14ac:dyDescent="0.25">
      <c r="A672" s="1">
        <v>45163</v>
      </c>
      <c r="B672" s="2">
        <v>2840</v>
      </c>
      <c r="C672" s="4">
        <f>(GDX_data[[#This Row],[Último]]/B671)-1</f>
        <v>-9.7629009762900676E-3</v>
      </c>
    </row>
    <row r="673" spans="1:3" x14ac:dyDescent="0.25">
      <c r="A673" s="1">
        <v>45166</v>
      </c>
      <c r="B673" s="2">
        <v>2900</v>
      </c>
      <c r="C673" s="4">
        <f>(GDX_data[[#This Row],[Último]]/B672)-1</f>
        <v>2.1126760563380254E-2</v>
      </c>
    </row>
    <row r="674" spans="1:3" x14ac:dyDescent="0.25">
      <c r="A674" s="1">
        <v>45167</v>
      </c>
      <c r="B674" s="2">
        <v>2953</v>
      </c>
      <c r="C674" s="4">
        <f>(GDX_data[[#This Row],[Último]]/B673)-1</f>
        <v>1.8275862068965587E-2</v>
      </c>
    </row>
    <row r="675" spans="1:3" x14ac:dyDescent="0.25">
      <c r="A675" s="1">
        <v>45168</v>
      </c>
      <c r="B675" s="2">
        <v>2952</v>
      </c>
      <c r="C675" s="4">
        <f>(GDX_data[[#This Row],[Último]]/B674)-1</f>
        <v>-3.3863867253636215E-4</v>
      </c>
    </row>
    <row r="676" spans="1:3" x14ac:dyDescent="0.25">
      <c r="A676" s="1">
        <v>45169</v>
      </c>
      <c r="B676" s="2">
        <v>2926</v>
      </c>
      <c r="C676" s="4">
        <f>(GDX_data[[#This Row],[Último]]/B675)-1</f>
        <v>-8.807588075880779E-3</v>
      </c>
    </row>
    <row r="677" spans="1:3" x14ac:dyDescent="0.25">
      <c r="A677" s="1">
        <v>45170</v>
      </c>
      <c r="B677" s="2">
        <v>2909</v>
      </c>
      <c r="C677" s="4">
        <f>(GDX_data[[#This Row],[Último]]/B676)-1</f>
        <v>-5.8099794941900429E-3</v>
      </c>
    </row>
    <row r="678" spans="1:3" x14ac:dyDescent="0.25">
      <c r="A678" s="1">
        <v>45174</v>
      </c>
      <c r="B678" s="2">
        <v>2849</v>
      </c>
      <c r="C678" s="4">
        <f>(GDX_data[[#This Row],[Último]]/B677)-1</f>
        <v>-2.0625644551392264E-2</v>
      </c>
    </row>
    <row r="679" spans="1:3" x14ac:dyDescent="0.25">
      <c r="A679" s="1">
        <v>45175</v>
      </c>
      <c r="B679" s="2">
        <v>2847</v>
      </c>
      <c r="C679" s="4">
        <f>(GDX_data[[#This Row],[Último]]/B678)-1</f>
        <v>-7.0200070200066023E-4</v>
      </c>
    </row>
    <row r="680" spans="1:3" x14ac:dyDescent="0.25">
      <c r="A680" s="1">
        <v>45176</v>
      </c>
      <c r="B680" s="2">
        <v>2828</v>
      </c>
      <c r="C680" s="4">
        <f>(GDX_data[[#This Row],[Último]]/B679)-1</f>
        <v>-6.673691605198484E-3</v>
      </c>
    </row>
    <row r="681" spans="1:3" x14ac:dyDescent="0.25">
      <c r="A681" s="1">
        <v>45177</v>
      </c>
      <c r="B681" s="2">
        <v>2834</v>
      </c>
      <c r="C681" s="4">
        <f>(GDX_data[[#This Row],[Último]]/B680)-1</f>
        <v>2.1216407355020284E-3</v>
      </c>
    </row>
    <row r="682" spans="1:3" x14ac:dyDescent="0.25">
      <c r="A682" s="1">
        <v>45180</v>
      </c>
      <c r="B682" s="2">
        <v>2877</v>
      </c>
      <c r="C682" s="4">
        <f>(GDX_data[[#This Row],[Último]]/B681)-1</f>
        <v>1.5172900494001329E-2</v>
      </c>
    </row>
    <row r="683" spans="1:3" x14ac:dyDescent="0.25">
      <c r="A683" s="1">
        <v>45181</v>
      </c>
      <c r="B683" s="2">
        <v>2879</v>
      </c>
      <c r="C683" s="4">
        <f>(GDX_data[[#This Row],[Último]]/B682)-1</f>
        <v>6.9516857838025636E-4</v>
      </c>
    </row>
    <row r="684" spans="1:3" x14ac:dyDescent="0.25">
      <c r="A684" s="1">
        <v>45182</v>
      </c>
      <c r="B684" s="2">
        <v>2872</v>
      </c>
      <c r="C684" s="4">
        <f>(GDX_data[[#This Row],[Último]]/B683)-1</f>
        <v>-2.4313997915943464E-3</v>
      </c>
    </row>
    <row r="685" spans="1:3" x14ac:dyDescent="0.25">
      <c r="A685" s="1">
        <v>45183</v>
      </c>
      <c r="B685" s="2">
        <v>2911</v>
      </c>
      <c r="C685" s="4">
        <f>(GDX_data[[#This Row],[Último]]/B684)-1</f>
        <v>1.3579387186629432E-2</v>
      </c>
    </row>
    <row r="686" spans="1:3" x14ac:dyDescent="0.25">
      <c r="A686" s="1">
        <v>45184</v>
      </c>
      <c r="B686" s="2">
        <v>2972</v>
      </c>
      <c r="C686" s="4">
        <f>(GDX_data[[#This Row],[Último]]/B685)-1</f>
        <v>2.0954998282377124E-2</v>
      </c>
    </row>
    <row r="687" spans="1:3" x14ac:dyDescent="0.25">
      <c r="A687" s="1">
        <v>45187</v>
      </c>
      <c r="B687" s="2">
        <v>2975</v>
      </c>
      <c r="C687" s="4">
        <f>(GDX_data[[#This Row],[Último]]/B686)-1</f>
        <v>1.0094212651412526E-3</v>
      </c>
    </row>
    <row r="688" spans="1:3" x14ac:dyDescent="0.25">
      <c r="A688" s="1">
        <v>45188</v>
      </c>
      <c r="B688" s="2">
        <v>2940</v>
      </c>
      <c r="C688" s="4">
        <f>(GDX_data[[#This Row],[Último]]/B687)-1</f>
        <v>-1.1764705882352899E-2</v>
      </c>
    </row>
    <row r="689" spans="1:3" x14ac:dyDescent="0.25">
      <c r="A689" s="1">
        <v>45189</v>
      </c>
      <c r="B689" s="2">
        <v>2971</v>
      </c>
      <c r="C689" s="4">
        <f>(GDX_data[[#This Row],[Último]]/B688)-1</f>
        <v>1.0544217687074919E-2</v>
      </c>
    </row>
    <row r="690" spans="1:3" x14ac:dyDescent="0.25">
      <c r="A690" s="1">
        <v>45190</v>
      </c>
      <c r="B690" s="2">
        <v>2891</v>
      </c>
      <c r="C690" s="4">
        <f>(GDX_data[[#This Row],[Último]]/B689)-1</f>
        <v>-2.6926960619320095E-2</v>
      </c>
    </row>
    <row r="691" spans="1:3" x14ac:dyDescent="0.25">
      <c r="A691" s="1">
        <v>45191</v>
      </c>
      <c r="B691" s="2">
        <v>2887</v>
      </c>
      <c r="C691" s="4">
        <f>(GDX_data[[#This Row],[Último]]/B690)-1</f>
        <v>-1.3836042891732792E-3</v>
      </c>
    </row>
    <row r="692" spans="1:3" x14ac:dyDescent="0.25">
      <c r="A692" s="1">
        <v>45194</v>
      </c>
      <c r="B692" s="2">
        <v>2851</v>
      </c>
      <c r="C692" s="4">
        <f>(GDX_data[[#This Row],[Último]]/B691)-1</f>
        <v>-1.2469691721510245E-2</v>
      </c>
    </row>
    <row r="693" spans="1:3" x14ac:dyDescent="0.25">
      <c r="A693" s="1">
        <v>45195</v>
      </c>
      <c r="B693" s="2">
        <v>2774</v>
      </c>
      <c r="C693" s="4">
        <f>(GDX_data[[#This Row],[Último]]/B692)-1</f>
        <v>-2.7008067344791331E-2</v>
      </c>
    </row>
    <row r="694" spans="1:3" x14ac:dyDescent="0.25">
      <c r="A694" s="1">
        <v>45196</v>
      </c>
      <c r="B694" s="2">
        <v>2691</v>
      </c>
      <c r="C694" s="4">
        <f>(GDX_data[[#This Row],[Último]]/B693)-1</f>
        <v>-2.9920692141312211E-2</v>
      </c>
    </row>
    <row r="695" spans="1:3" x14ac:dyDescent="0.25">
      <c r="A695" s="1">
        <v>45197</v>
      </c>
      <c r="B695" s="2">
        <v>2705</v>
      </c>
      <c r="C695" s="4">
        <f>(GDX_data[[#This Row],[Último]]/B694)-1</f>
        <v>5.2025269416573483E-3</v>
      </c>
    </row>
    <row r="696" spans="1:3" x14ac:dyDescent="0.25">
      <c r="A696" s="1">
        <v>45198</v>
      </c>
      <c r="B696" s="2">
        <v>2691</v>
      </c>
      <c r="C696" s="4">
        <f>(GDX_data[[#This Row],[Último]]/B695)-1</f>
        <v>-5.1756007393715109E-3</v>
      </c>
    </row>
    <row r="697" spans="1:3" x14ac:dyDescent="0.25">
      <c r="A697" s="1">
        <v>45201</v>
      </c>
      <c r="B697" s="2">
        <v>2599</v>
      </c>
      <c r="C697" s="4">
        <f>(GDX_data[[#This Row],[Último]]/B696)-1</f>
        <v>-3.4188034188034178E-2</v>
      </c>
    </row>
    <row r="698" spans="1:3" x14ac:dyDescent="0.25">
      <c r="A698" s="1">
        <v>45202</v>
      </c>
      <c r="B698" s="2">
        <v>2607</v>
      </c>
      <c r="C698" s="4">
        <f>(GDX_data[[#This Row],[Último]]/B697)-1</f>
        <v>3.0781069642169534E-3</v>
      </c>
    </row>
    <row r="699" spans="1:3" x14ac:dyDescent="0.25">
      <c r="A699" s="1">
        <v>45203</v>
      </c>
      <c r="B699" s="2">
        <v>2591</v>
      </c>
      <c r="C699" s="4">
        <f>(GDX_data[[#This Row],[Último]]/B698)-1</f>
        <v>-6.1373225930188013E-3</v>
      </c>
    </row>
    <row r="700" spans="1:3" x14ac:dyDescent="0.25">
      <c r="A700" s="1">
        <v>45204</v>
      </c>
      <c r="B700" s="2">
        <v>2632</v>
      </c>
      <c r="C700" s="4">
        <f>(GDX_data[[#This Row],[Último]]/B699)-1</f>
        <v>1.582400617522195E-2</v>
      </c>
    </row>
    <row r="701" spans="1:3" x14ac:dyDescent="0.25">
      <c r="A701" s="1">
        <v>45205</v>
      </c>
      <c r="B701" s="2">
        <v>2689</v>
      </c>
      <c r="C701" s="4">
        <f>(GDX_data[[#This Row],[Último]]/B700)-1</f>
        <v>2.1656534954407336E-2</v>
      </c>
    </row>
    <row r="702" spans="1:3" x14ac:dyDescent="0.25">
      <c r="A702" s="1">
        <v>45208</v>
      </c>
      <c r="B702" s="2">
        <v>2754</v>
      </c>
      <c r="C702" s="4">
        <f>(GDX_data[[#This Row],[Último]]/B701)-1</f>
        <v>2.4172554853105321E-2</v>
      </c>
    </row>
    <row r="703" spans="1:3" x14ac:dyDescent="0.25">
      <c r="A703" s="1">
        <v>45209</v>
      </c>
      <c r="B703" s="2">
        <v>2781</v>
      </c>
      <c r="C703" s="4">
        <f>(GDX_data[[#This Row],[Último]]/B702)-1</f>
        <v>9.8039215686274161E-3</v>
      </c>
    </row>
    <row r="704" spans="1:3" x14ac:dyDescent="0.25">
      <c r="A704" s="1">
        <v>45210</v>
      </c>
      <c r="B704" s="2">
        <v>2832</v>
      </c>
      <c r="C704" s="4">
        <f>(GDX_data[[#This Row],[Último]]/B703)-1</f>
        <v>1.8338727076591121E-2</v>
      </c>
    </row>
    <row r="705" spans="1:3" x14ac:dyDescent="0.25">
      <c r="A705" s="1">
        <v>45211</v>
      </c>
      <c r="B705" s="2">
        <v>2774</v>
      </c>
      <c r="C705" s="4">
        <f>(GDX_data[[#This Row],[Último]]/B704)-1</f>
        <v>-2.0480225988700584E-2</v>
      </c>
    </row>
    <row r="706" spans="1:3" x14ac:dyDescent="0.25">
      <c r="A706" s="1">
        <v>45212</v>
      </c>
      <c r="B706" s="2">
        <v>2895</v>
      </c>
      <c r="C706" s="4">
        <f>(GDX_data[[#This Row],[Último]]/B705)-1</f>
        <v>4.3619322278298567E-2</v>
      </c>
    </row>
    <row r="707" spans="1:3" x14ac:dyDescent="0.25">
      <c r="A707" s="1">
        <v>45215</v>
      </c>
      <c r="B707" s="2">
        <v>2900</v>
      </c>
      <c r="C707" s="4">
        <f>(GDX_data[[#This Row],[Último]]/B706)-1</f>
        <v>1.7271157167531026E-3</v>
      </c>
    </row>
    <row r="708" spans="1:3" x14ac:dyDescent="0.25">
      <c r="A708" s="1">
        <v>45216</v>
      </c>
      <c r="B708" s="2">
        <v>2953</v>
      </c>
      <c r="C708" s="4">
        <f>(GDX_data[[#This Row],[Último]]/B707)-1</f>
        <v>1.8275862068965587E-2</v>
      </c>
    </row>
    <row r="709" spans="1:3" x14ac:dyDescent="0.25">
      <c r="A709" s="1">
        <v>45217</v>
      </c>
      <c r="B709" s="2">
        <v>2945</v>
      </c>
      <c r="C709" s="4">
        <f>(GDX_data[[#This Row],[Último]]/B708)-1</f>
        <v>-2.7091093802912303E-3</v>
      </c>
    </row>
    <row r="710" spans="1:3" x14ac:dyDescent="0.25">
      <c r="A710" s="1">
        <v>45218</v>
      </c>
      <c r="B710" s="2">
        <v>2951</v>
      </c>
      <c r="C710" s="4">
        <f>(GDX_data[[#This Row],[Último]]/B709)-1</f>
        <v>2.0373514431240025E-3</v>
      </c>
    </row>
    <row r="711" spans="1:3" x14ac:dyDescent="0.25">
      <c r="A711" s="1">
        <v>45219</v>
      </c>
      <c r="B711" s="2">
        <v>2948</v>
      </c>
      <c r="C711" s="4">
        <f>(GDX_data[[#This Row],[Último]]/B710)-1</f>
        <v>-1.0166045408336322E-3</v>
      </c>
    </row>
    <row r="712" spans="1:3" x14ac:dyDescent="0.25">
      <c r="A712" s="1">
        <v>45222</v>
      </c>
      <c r="B712" s="2">
        <v>2924</v>
      </c>
      <c r="C712" s="4">
        <f>(GDX_data[[#This Row],[Último]]/B711)-1</f>
        <v>-8.141112618724522E-3</v>
      </c>
    </row>
    <row r="713" spans="1:3" x14ac:dyDescent="0.25">
      <c r="A713" s="1">
        <v>45223</v>
      </c>
      <c r="B713" s="2">
        <v>2926</v>
      </c>
      <c r="C713" s="4">
        <f>(GDX_data[[#This Row],[Último]]/B712)-1</f>
        <v>6.8399452804368543E-4</v>
      </c>
    </row>
    <row r="714" spans="1:3" x14ac:dyDescent="0.25">
      <c r="A714" s="1">
        <v>45224</v>
      </c>
      <c r="B714" s="2">
        <v>2878</v>
      </c>
      <c r="C714" s="4">
        <f>(GDX_data[[#This Row],[Último]]/B713)-1</f>
        <v>-1.6404647983595311E-2</v>
      </c>
    </row>
    <row r="715" spans="1:3" x14ac:dyDescent="0.25">
      <c r="A715" s="1">
        <v>45225</v>
      </c>
      <c r="B715" s="2">
        <v>2852</v>
      </c>
      <c r="C715" s="4">
        <f>(GDX_data[[#This Row],[Último]]/B714)-1</f>
        <v>-9.0340514246004533E-3</v>
      </c>
    </row>
    <row r="716" spans="1:3" x14ac:dyDescent="0.25">
      <c r="A716" s="1">
        <v>45226</v>
      </c>
      <c r="B716" s="2">
        <v>2920</v>
      </c>
      <c r="C716" s="4">
        <f>(GDX_data[[#This Row],[Último]]/B715)-1</f>
        <v>2.3842917251051921E-2</v>
      </c>
    </row>
    <row r="717" spans="1:3" x14ac:dyDescent="0.25">
      <c r="A717" s="1">
        <v>45229</v>
      </c>
      <c r="B717" s="2">
        <v>2877</v>
      </c>
      <c r="C717" s="4">
        <f>(GDX_data[[#This Row],[Último]]/B716)-1</f>
        <v>-1.4726027397260255E-2</v>
      </c>
    </row>
    <row r="718" spans="1:3" x14ac:dyDescent="0.25">
      <c r="A718" s="1">
        <v>45230</v>
      </c>
      <c r="B718" s="2">
        <v>2801</v>
      </c>
      <c r="C718" s="4">
        <f>(GDX_data[[#This Row],[Último]]/B717)-1</f>
        <v>-2.6416405978449742E-2</v>
      </c>
    </row>
    <row r="719" spans="1:3" x14ac:dyDescent="0.25">
      <c r="A719" s="1">
        <v>45231</v>
      </c>
      <c r="B719" s="2">
        <v>2811</v>
      </c>
      <c r="C719" s="4">
        <f>(GDX_data[[#This Row],[Último]]/B718)-1</f>
        <v>3.5701535166012821E-3</v>
      </c>
    </row>
    <row r="720" spans="1:3" x14ac:dyDescent="0.25">
      <c r="A720" s="1">
        <v>45232</v>
      </c>
      <c r="B720" s="2">
        <v>2826</v>
      </c>
      <c r="C720" s="4">
        <f>(GDX_data[[#This Row],[Último]]/B719)-1</f>
        <v>5.3361792956243548E-3</v>
      </c>
    </row>
    <row r="721" spans="1:3" x14ac:dyDescent="0.25">
      <c r="A721" s="1">
        <v>45233</v>
      </c>
      <c r="B721" s="2">
        <v>2947</v>
      </c>
      <c r="C721" s="4">
        <f>(GDX_data[[#This Row],[Último]]/B720)-1</f>
        <v>4.281670205237087E-2</v>
      </c>
    </row>
    <row r="722" spans="1:3" x14ac:dyDescent="0.25">
      <c r="A722" s="1">
        <v>45236</v>
      </c>
      <c r="B722" s="2">
        <v>2915</v>
      </c>
      <c r="C722" s="4">
        <f>(GDX_data[[#This Row],[Último]]/B721)-1</f>
        <v>-1.0858500169664054E-2</v>
      </c>
    </row>
    <row r="723" spans="1:3" x14ac:dyDescent="0.25">
      <c r="A723" s="1">
        <v>45237</v>
      </c>
      <c r="B723" s="2">
        <v>2859</v>
      </c>
      <c r="C723" s="4">
        <f>(GDX_data[[#This Row],[Último]]/B722)-1</f>
        <v>-1.9210977701543785E-2</v>
      </c>
    </row>
    <row r="724" spans="1:3" x14ac:dyDescent="0.25">
      <c r="A724" s="1">
        <v>45238</v>
      </c>
      <c r="B724" s="2">
        <v>2769</v>
      </c>
      <c r="C724" s="4">
        <f>(GDX_data[[#This Row],[Último]]/B723)-1</f>
        <v>-3.147953830010497E-2</v>
      </c>
    </row>
    <row r="725" spans="1:3" x14ac:dyDescent="0.25">
      <c r="A725" s="1">
        <v>45239</v>
      </c>
      <c r="B725" s="2">
        <v>2759</v>
      </c>
      <c r="C725" s="4">
        <f>(GDX_data[[#This Row],[Último]]/B724)-1</f>
        <v>-3.6114120621162371E-3</v>
      </c>
    </row>
    <row r="726" spans="1:3" x14ac:dyDescent="0.25">
      <c r="A726" s="1">
        <v>45240</v>
      </c>
      <c r="B726" s="2">
        <v>2725</v>
      </c>
      <c r="C726" s="4">
        <f>(GDX_data[[#This Row],[Último]]/B725)-1</f>
        <v>-1.2323305545487551E-2</v>
      </c>
    </row>
    <row r="727" spans="1:3" x14ac:dyDescent="0.25">
      <c r="A727" s="1">
        <v>45243</v>
      </c>
      <c r="B727" s="2">
        <v>2704</v>
      </c>
      <c r="C727" s="4">
        <f>(GDX_data[[#This Row],[Último]]/B726)-1</f>
        <v>-7.706422018348591E-3</v>
      </c>
    </row>
    <row r="728" spans="1:3" x14ac:dyDescent="0.25">
      <c r="A728" s="1">
        <v>45244</v>
      </c>
      <c r="B728" s="2">
        <v>2833</v>
      </c>
      <c r="C728" s="4">
        <f>(GDX_data[[#This Row],[Último]]/B727)-1</f>
        <v>4.7707100591716012E-2</v>
      </c>
    </row>
    <row r="729" spans="1:3" x14ac:dyDescent="0.25">
      <c r="A729" s="1">
        <v>45245</v>
      </c>
      <c r="B729" s="2">
        <v>2819</v>
      </c>
      <c r="C729" s="4">
        <f>(GDX_data[[#This Row],[Último]]/B728)-1</f>
        <v>-4.9417578538651918E-3</v>
      </c>
    </row>
    <row r="730" spans="1:3" x14ac:dyDescent="0.25">
      <c r="A730" s="1">
        <v>45246</v>
      </c>
      <c r="B730" s="2">
        <v>2861</v>
      </c>
      <c r="C730" s="4">
        <f>(GDX_data[[#This Row],[Último]]/B729)-1</f>
        <v>1.4898900319262109E-2</v>
      </c>
    </row>
    <row r="731" spans="1:3" x14ac:dyDescent="0.25">
      <c r="A731" s="1">
        <v>45247</v>
      </c>
      <c r="B731" s="2">
        <v>2843</v>
      </c>
      <c r="C731" s="4">
        <f>(GDX_data[[#This Row],[Último]]/B730)-1</f>
        <v>-6.2915064662705245E-3</v>
      </c>
    </row>
    <row r="732" spans="1:3" x14ac:dyDescent="0.25">
      <c r="A732" s="1">
        <v>45250</v>
      </c>
      <c r="B732" s="2">
        <v>2851</v>
      </c>
      <c r="C732" s="4">
        <f>(GDX_data[[#This Row],[Último]]/B731)-1</f>
        <v>2.81392894829402E-3</v>
      </c>
    </row>
    <row r="733" spans="1:3" x14ac:dyDescent="0.25">
      <c r="A733" s="1">
        <v>45251</v>
      </c>
      <c r="B733" s="2">
        <v>2921</v>
      </c>
      <c r="C733" s="4">
        <f>(GDX_data[[#This Row],[Último]]/B732)-1</f>
        <v>2.4552788495264766E-2</v>
      </c>
    </row>
    <row r="734" spans="1:3" x14ac:dyDescent="0.25">
      <c r="A734" s="1">
        <v>45252</v>
      </c>
      <c r="B734" s="2">
        <v>2925</v>
      </c>
      <c r="C734" s="4">
        <f>(GDX_data[[#This Row],[Último]]/B733)-1</f>
        <v>1.369394043135852E-3</v>
      </c>
    </row>
    <row r="735" spans="1:3" x14ac:dyDescent="0.25">
      <c r="A735" s="1">
        <v>45254</v>
      </c>
      <c r="B735" s="2">
        <v>2932</v>
      </c>
      <c r="C735" s="4">
        <f>(GDX_data[[#This Row],[Último]]/B734)-1</f>
        <v>2.3931623931623403E-3</v>
      </c>
    </row>
    <row r="736" spans="1:3" x14ac:dyDescent="0.25">
      <c r="A736" s="1">
        <v>45257</v>
      </c>
      <c r="B736" s="2">
        <v>2979</v>
      </c>
      <c r="C736" s="4">
        <f>(GDX_data[[#This Row],[Último]]/B735)-1</f>
        <v>1.6030013642564844E-2</v>
      </c>
    </row>
    <row r="737" spans="1:3" x14ac:dyDescent="0.25">
      <c r="A737" s="1">
        <v>45258</v>
      </c>
      <c r="B737" s="2">
        <v>3122</v>
      </c>
      <c r="C737" s="4">
        <f>(GDX_data[[#This Row],[Último]]/B736)-1</f>
        <v>4.8002685464921147E-2</v>
      </c>
    </row>
    <row r="738" spans="1:3" x14ac:dyDescent="0.25">
      <c r="A738" s="1">
        <v>45259</v>
      </c>
      <c r="B738" s="2">
        <v>3120</v>
      </c>
      <c r="C738" s="4">
        <f>(GDX_data[[#This Row],[Último]]/B737)-1</f>
        <v>-6.4061499039080871E-4</v>
      </c>
    </row>
    <row r="739" spans="1:3" x14ac:dyDescent="0.25">
      <c r="A739" s="1">
        <v>45260</v>
      </c>
      <c r="B739" s="2">
        <v>3132</v>
      </c>
      <c r="C739" s="4">
        <f>(GDX_data[[#This Row],[Último]]/B738)-1</f>
        <v>3.8461538461538325E-3</v>
      </c>
    </row>
    <row r="740" spans="1:3" x14ac:dyDescent="0.25">
      <c r="A740" s="1">
        <v>45261</v>
      </c>
      <c r="B740" s="2">
        <v>3181</v>
      </c>
      <c r="C740" s="4">
        <f>(GDX_data[[#This Row],[Último]]/B739)-1</f>
        <v>1.5644955300127661E-2</v>
      </c>
    </row>
    <row r="741" spans="1:3" x14ac:dyDescent="0.25">
      <c r="A741" s="1">
        <v>45264</v>
      </c>
      <c r="B741" s="2">
        <v>3102</v>
      </c>
      <c r="C741" s="4">
        <f>(GDX_data[[#This Row],[Último]]/B740)-1</f>
        <v>-2.4834957560515569E-2</v>
      </c>
    </row>
    <row r="742" spans="1:3" x14ac:dyDescent="0.25">
      <c r="A742" s="1">
        <v>45265</v>
      </c>
      <c r="B742" s="2">
        <v>3048</v>
      </c>
      <c r="C742" s="4">
        <f>(GDX_data[[#This Row],[Último]]/B741)-1</f>
        <v>-1.740812379110257E-2</v>
      </c>
    </row>
    <row r="743" spans="1:3" x14ac:dyDescent="0.25">
      <c r="A743" s="1">
        <v>45266</v>
      </c>
      <c r="B743" s="2">
        <v>3042</v>
      </c>
      <c r="C743" s="4">
        <f>(GDX_data[[#This Row],[Último]]/B742)-1</f>
        <v>-1.9685039370078705E-3</v>
      </c>
    </row>
    <row r="744" spans="1:3" x14ac:dyDescent="0.25">
      <c r="A744" s="1">
        <v>45267</v>
      </c>
      <c r="B744" s="2">
        <v>3032</v>
      </c>
      <c r="C744" s="4">
        <f>(GDX_data[[#This Row],[Último]]/B743)-1</f>
        <v>-3.2873109796186517E-3</v>
      </c>
    </row>
    <row r="745" spans="1:3" x14ac:dyDescent="0.25">
      <c r="A745" s="1">
        <v>45268</v>
      </c>
      <c r="B745" s="2">
        <v>2968</v>
      </c>
      <c r="C745" s="4">
        <f>(GDX_data[[#This Row],[Último]]/B744)-1</f>
        <v>-2.1108179419525031E-2</v>
      </c>
    </row>
    <row r="746" spans="1:3" x14ac:dyDescent="0.25">
      <c r="A746" s="1">
        <v>45271</v>
      </c>
      <c r="B746" s="2">
        <v>2955</v>
      </c>
      <c r="C746" s="4">
        <f>(GDX_data[[#This Row],[Último]]/B745)-1</f>
        <v>-4.3800539083558299E-3</v>
      </c>
    </row>
    <row r="747" spans="1:3" x14ac:dyDescent="0.25">
      <c r="A747" s="1">
        <v>45272</v>
      </c>
      <c r="B747" s="2">
        <v>2886</v>
      </c>
      <c r="C747" s="4">
        <f>(GDX_data[[#This Row],[Último]]/B746)-1</f>
        <v>-2.3350253807106647E-2</v>
      </c>
    </row>
    <row r="748" spans="1:3" x14ac:dyDescent="0.25">
      <c r="A748" s="1">
        <v>45273</v>
      </c>
      <c r="B748" s="2">
        <v>3070</v>
      </c>
      <c r="C748" s="4">
        <f>(GDX_data[[#This Row],[Último]]/B747)-1</f>
        <v>6.3756063756063686E-2</v>
      </c>
    </row>
    <row r="749" spans="1:3" x14ac:dyDescent="0.25">
      <c r="A749" s="1">
        <v>45274</v>
      </c>
      <c r="B749" s="2">
        <v>3131</v>
      </c>
      <c r="C749" s="4">
        <f>(GDX_data[[#This Row],[Último]]/B748)-1</f>
        <v>1.9869706840390799E-2</v>
      </c>
    </row>
    <row r="750" spans="1:3" x14ac:dyDescent="0.25">
      <c r="A750" s="1">
        <v>45275</v>
      </c>
      <c r="B750" s="2">
        <v>3095</v>
      </c>
      <c r="C750" s="4">
        <f>(GDX_data[[#This Row],[Último]]/B749)-1</f>
        <v>-1.1497923985946956E-2</v>
      </c>
    </row>
    <row r="751" spans="1:3" x14ac:dyDescent="0.25">
      <c r="A751" s="1">
        <v>45278</v>
      </c>
      <c r="B751" s="2">
        <v>3073</v>
      </c>
      <c r="C751" s="4">
        <f>(GDX_data[[#This Row],[Último]]/B750)-1</f>
        <v>-7.1082390953149943E-3</v>
      </c>
    </row>
    <row r="752" spans="1:3" x14ac:dyDescent="0.25">
      <c r="A752" s="1">
        <v>45279</v>
      </c>
      <c r="B752" s="2">
        <v>3155</v>
      </c>
      <c r="C752" s="4">
        <f>(GDX_data[[#This Row],[Último]]/B751)-1</f>
        <v>2.6684022128213414E-2</v>
      </c>
    </row>
    <row r="753" spans="1:3" x14ac:dyDescent="0.25">
      <c r="A753" s="1">
        <v>45280</v>
      </c>
      <c r="B753" s="2">
        <v>3078</v>
      </c>
      <c r="C753" s="4">
        <f>(GDX_data[[#This Row],[Último]]/B752)-1</f>
        <v>-2.4405705229794017E-2</v>
      </c>
    </row>
    <row r="754" spans="1:3" x14ac:dyDescent="0.25">
      <c r="A754" s="1">
        <v>45281</v>
      </c>
      <c r="B754" s="2">
        <v>3135</v>
      </c>
      <c r="C754" s="4">
        <f>(GDX_data[[#This Row],[Último]]/B753)-1</f>
        <v>1.8518518518518601E-2</v>
      </c>
    </row>
    <row r="755" spans="1:3" x14ac:dyDescent="0.25">
      <c r="A755" s="1">
        <v>45282</v>
      </c>
      <c r="B755" s="2">
        <v>3156</v>
      </c>
      <c r="C755" s="4">
        <f>(GDX_data[[#This Row],[Último]]/B754)-1</f>
        <v>6.698564593301537E-3</v>
      </c>
    </row>
    <row r="756" spans="1:3" x14ac:dyDescent="0.25">
      <c r="A756" s="1">
        <v>45286</v>
      </c>
      <c r="B756" s="2">
        <v>3167</v>
      </c>
      <c r="C756" s="4">
        <f>(GDX_data[[#This Row],[Último]]/B755)-1</f>
        <v>3.4854245880862056E-3</v>
      </c>
    </row>
    <row r="757" spans="1:3" x14ac:dyDescent="0.25">
      <c r="A757" s="1">
        <v>45287</v>
      </c>
      <c r="B757" s="2">
        <v>3198</v>
      </c>
      <c r="C757" s="4">
        <f>(GDX_data[[#This Row],[Último]]/B756)-1</f>
        <v>9.7884433217556577E-3</v>
      </c>
    </row>
    <row r="758" spans="1:3" x14ac:dyDescent="0.25">
      <c r="A758" s="1">
        <v>45288</v>
      </c>
      <c r="B758" s="2">
        <v>3117</v>
      </c>
      <c r="C758" s="4">
        <f>(GDX_data[[#This Row],[Último]]/B757)-1</f>
        <v>-2.5328330206379035E-2</v>
      </c>
    </row>
    <row r="759" spans="1:3" x14ac:dyDescent="0.25">
      <c r="A759" s="1">
        <v>45289</v>
      </c>
      <c r="B759" s="2">
        <v>3101</v>
      </c>
      <c r="C759" s="4">
        <f>(GDX_data[[#This Row],[Último]]/B758)-1</f>
        <v>-5.1331408405518308E-3</v>
      </c>
    </row>
    <row r="760" spans="1:3" x14ac:dyDescent="0.25">
      <c r="A760" s="1">
        <v>45293</v>
      </c>
      <c r="B760" s="2">
        <v>3056</v>
      </c>
      <c r="C760" s="4">
        <f>(GDX_data[[#This Row],[Último]]/B759)-1</f>
        <v>-1.4511447920025788E-2</v>
      </c>
    </row>
    <row r="761" spans="1:3" x14ac:dyDescent="0.25">
      <c r="A761" s="1">
        <v>45294</v>
      </c>
      <c r="B761" s="2">
        <v>2976</v>
      </c>
      <c r="C761" s="4">
        <f>(GDX_data[[#This Row],[Último]]/B760)-1</f>
        <v>-2.6178010471204161E-2</v>
      </c>
    </row>
    <row r="762" spans="1:3" x14ac:dyDescent="0.25">
      <c r="A762" s="1">
        <v>45295</v>
      </c>
      <c r="B762" s="2">
        <v>2977</v>
      </c>
      <c r="C762" s="4">
        <f>(GDX_data[[#This Row],[Último]]/B761)-1</f>
        <v>3.3602150537626052E-4</v>
      </c>
    </row>
    <row r="763" spans="1:3" x14ac:dyDescent="0.25">
      <c r="A763" s="1">
        <v>45296</v>
      </c>
      <c r="B763" s="2">
        <v>2977</v>
      </c>
      <c r="C763" s="4">
        <f>(GDX_data[[#This Row],[Último]]/B762)-1</f>
        <v>0</v>
      </c>
    </row>
    <row r="764" spans="1:3" x14ac:dyDescent="0.25">
      <c r="A764" s="1">
        <v>45299</v>
      </c>
      <c r="B764" s="2">
        <v>2970</v>
      </c>
      <c r="C764" s="4">
        <f>(GDX_data[[#This Row],[Último]]/B763)-1</f>
        <v>-2.3513604299630897E-3</v>
      </c>
    </row>
    <row r="765" spans="1:3" x14ac:dyDescent="0.25">
      <c r="A765" s="1">
        <v>45300</v>
      </c>
      <c r="B765" s="2">
        <v>2917</v>
      </c>
      <c r="C765" s="4">
        <f>(GDX_data[[#This Row],[Último]]/B764)-1</f>
        <v>-1.7845117845117886E-2</v>
      </c>
    </row>
    <row r="766" spans="1:3" x14ac:dyDescent="0.25">
      <c r="A766" s="1">
        <v>45301</v>
      </c>
      <c r="B766" s="2">
        <v>2911</v>
      </c>
      <c r="C766" s="4">
        <f>(GDX_data[[#This Row],[Último]]/B765)-1</f>
        <v>-2.056907781967765E-3</v>
      </c>
    </row>
    <row r="767" spans="1:3" x14ac:dyDescent="0.25">
      <c r="A767" s="1">
        <v>45302</v>
      </c>
      <c r="B767" s="2">
        <v>2889</v>
      </c>
      <c r="C767" s="4">
        <f>(GDX_data[[#This Row],[Último]]/B766)-1</f>
        <v>-7.5575403641360284E-3</v>
      </c>
    </row>
    <row r="768" spans="1:3" x14ac:dyDescent="0.25">
      <c r="A768" s="1">
        <v>45303</v>
      </c>
      <c r="B768" s="2">
        <v>2970</v>
      </c>
      <c r="C768" s="4">
        <f>(GDX_data[[#This Row],[Último]]/B767)-1</f>
        <v>2.8037383177569986E-2</v>
      </c>
    </row>
    <row r="769" spans="1:3" x14ac:dyDescent="0.25">
      <c r="A769" s="1">
        <v>45307</v>
      </c>
      <c r="B769" s="2">
        <v>2839</v>
      </c>
      <c r="C769" s="4">
        <f>(GDX_data[[#This Row],[Último]]/B768)-1</f>
        <v>-4.4107744107744096E-2</v>
      </c>
    </row>
    <row r="770" spans="1:3" x14ac:dyDescent="0.25">
      <c r="A770" s="1">
        <v>45308</v>
      </c>
      <c r="B770" s="2">
        <v>2751</v>
      </c>
      <c r="C770" s="4">
        <f>(GDX_data[[#This Row],[Último]]/B769)-1</f>
        <v>-3.0996829869672449E-2</v>
      </c>
    </row>
    <row r="771" spans="1:3" x14ac:dyDescent="0.25">
      <c r="A771" s="1">
        <v>45309</v>
      </c>
      <c r="B771" s="2">
        <v>2759</v>
      </c>
      <c r="C771" s="4">
        <f>(GDX_data[[#This Row],[Último]]/B770)-1</f>
        <v>2.90803344238455E-3</v>
      </c>
    </row>
    <row r="772" spans="1:3" x14ac:dyDescent="0.25">
      <c r="A772" s="1">
        <v>45310</v>
      </c>
      <c r="B772" s="2">
        <v>2769</v>
      </c>
      <c r="C772" s="4">
        <f>(GDX_data[[#This Row],[Último]]/B771)-1</f>
        <v>3.6245016310256783E-3</v>
      </c>
    </row>
    <row r="773" spans="1:3" x14ac:dyDescent="0.25">
      <c r="A773" s="1">
        <v>45313</v>
      </c>
      <c r="B773" s="2">
        <v>2760</v>
      </c>
      <c r="C773" s="4">
        <f>(GDX_data[[#This Row],[Último]]/B772)-1</f>
        <v>-3.25027085590468E-3</v>
      </c>
    </row>
    <row r="774" spans="1:3" x14ac:dyDescent="0.25">
      <c r="A774" s="1">
        <v>45314</v>
      </c>
      <c r="B774" s="2">
        <v>2823</v>
      </c>
      <c r="C774" s="4">
        <f>(GDX_data[[#This Row],[Último]]/B773)-1</f>
        <v>2.2826086956521774E-2</v>
      </c>
    </row>
    <row r="775" spans="1:3" x14ac:dyDescent="0.25">
      <c r="A775" s="1">
        <v>45315</v>
      </c>
      <c r="B775" s="2">
        <v>2770</v>
      </c>
      <c r="C775" s="4">
        <f>(GDX_data[[#This Row],[Último]]/B774)-1</f>
        <v>-1.8774353524619203E-2</v>
      </c>
    </row>
    <row r="776" spans="1:3" x14ac:dyDescent="0.25">
      <c r="A776" s="1">
        <v>45316</v>
      </c>
      <c r="B776" s="2">
        <v>2825</v>
      </c>
      <c r="C776" s="4">
        <f>(GDX_data[[#This Row],[Último]]/B775)-1</f>
        <v>1.9855595667870096E-2</v>
      </c>
    </row>
    <row r="777" spans="1:3" x14ac:dyDescent="0.25">
      <c r="A777" s="1">
        <v>45317</v>
      </c>
      <c r="B777" s="2">
        <v>2807</v>
      </c>
      <c r="C777" s="4">
        <f>(GDX_data[[#This Row],[Último]]/B776)-1</f>
        <v>-6.3716814159292534E-3</v>
      </c>
    </row>
    <row r="778" spans="1:3" x14ac:dyDescent="0.25">
      <c r="A778" s="1">
        <v>45320</v>
      </c>
      <c r="B778" s="2">
        <v>2836</v>
      </c>
      <c r="C778" s="4">
        <f>(GDX_data[[#This Row],[Último]]/B777)-1</f>
        <v>1.033131457071601E-2</v>
      </c>
    </row>
    <row r="779" spans="1:3" x14ac:dyDescent="0.25">
      <c r="A779" s="1">
        <v>45321</v>
      </c>
      <c r="B779" s="2">
        <v>2815</v>
      </c>
      <c r="C779" s="4">
        <f>(GDX_data[[#This Row],[Último]]/B778)-1</f>
        <v>-7.4047954866008903E-3</v>
      </c>
    </row>
    <row r="780" spans="1:3" x14ac:dyDescent="0.25">
      <c r="A780" s="1">
        <v>45322</v>
      </c>
      <c r="B780" s="2">
        <v>2794</v>
      </c>
      <c r="C780" s="4">
        <f>(GDX_data[[#This Row],[Último]]/B779)-1</f>
        <v>-7.4600355239786698E-3</v>
      </c>
    </row>
    <row r="781" spans="1:3" x14ac:dyDescent="0.25">
      <c r="A781" s="1">
        <v>45323</v>
      </c>
      <c r="B781" s="2">
        <v>2903</v>
      </c>
      <c r="C781" s="4">
        <f>(GDX_data[[#This Row],[Último]]/B780)-1</f>
        <v>3.9012168933428848E-2</v>
      </c>
    </row>
    <row r="782" spans="1:3" x14ac:dyDescent="0.25">
      <c r="A782" s="1">
        <v>45324</v>
      </c>
      <c r="B782" s="2">
        <v>2802</v>
      </c>
      <c r="C782" s="4">
        <f>(GDX_data[[#This Row],[Último]]/B781)-1</f>
        <v>-3.4791594901825706E-2</v>
      </c>
    </row>
    <row r="783" spans="1:3" x14ac:dyDescent="0.25">
      <c r="A783" s="1">
        <v>45327</v>
      </c>
      <c r="B783" s="2">
        <v>2736</v>
      </c>
      <c r="C783" s="4">
        <f>(GDX_data[[#This Row],[Último]]/B782)-1</f>
        <v>-2.3554603854389677E-2</v>
      </c>
    </row>
    <row r="784" spans="1:3" x14ac:dyDescent="0.25">
      <c r="A784" s="1">
        <v>45328</v>
      </c>
      <c r="B784" s="2">
        <v>2772</v>
      </c>
      <c r="C784" s="4">
        <f>(GDX_data[[#This Row],[Último]]/B783)-1</f>
        <v>1.3157894736842035E-2</v>
      </c>
    </row>
    <row r="785" spans="1:3" x14ac:dyDescent="0.25">
      <c r="A785" s="1">
        <v>45329</v>
      </c>
      <c r="B785" s="2">
        <v>2746</v>
      </c>
      <c r="C785" s="4">
        <f>(GDX_data[[#This Row],[Último]]/B784)-1</f>
        <v>-9.3795093795093765E-3</v>
      </c>
    </row>
    <row r="786" spans="1:3" x14ac:dyDescent="0.25">
      <c r="A786" s="1">
        <v>45330</v>
      </c>
      <c r="B786" s="2">
        <v>2730</v>
      </c>
      <c r="C786" s="4">
        <f>(GDX_data[[#This Row],[Último]]/B785)-1</f>
        <v>-5.8266569555717185E-3</v>
      </c>
    </row>
    <row r="787" spans="1:3" x14ac:dyDescent="0.25">
      <c r="A787" s="1">
        <v>45331</v>
      </c>
      <c r="B787" s="2">
        <v>2697</v>
      </c>
      <c r="C787" s="4">
        <f>(GDX_data[[#This Row],[Último]]/B786)-1</f>
        <v>-1.2087912087912045E-2</v>
      </c>
    </row>
    <row r="788" spans="1:3" x14ac:dyDescent="0.25">
      <c r="A788" s="1">
        <v>45334</v>
      </c>
      <c r="B788" s="2">
        <v>2729</v>
      </c>
      <c r="C788" s="4">
        <f>(GDX_data[[#This Row],[Último]]/B787)-1</f>
        <v>1.186503522432325E-2</v>
      </c>
    </row>
    <row r="789" spans="1:3" x14ac:dyDescent="0.25">
      <c r="A789" s="1">
        <v>45335</v>
      </c>
      <c r="B789" s="2">
        <v>2589</v>
      </c>
      <c r="C789" s="4">
        <f>(GDX_data[[#This Row],[Último]]/B788)-1</f>
        <v>-5.1300842799560264E-2</v>
      </c>
    </row>
    <row r="790" spans="1:3" x14ac:dyDescent="0.25">
      <c r="A790" s="1">
        <v>45336</v>
      </c>
      <c r="B790" s="2">
        <v>2601</v>
      </c>
      <c r="C790" s="4">
        <f>(GDX_data[[#This Row],[Último]]/B789)-1</f>
        <v>4.6349942062573479E-3</v>
      </c>
    </row>
    <row r="791" spans="1:3" x14ac:dyDescent="0.25">
      <c r="A791" s="1">
        <v>45337</v>
      </c>
      <c r="B791" s="2">
        <v>2677</v>
      </c>
      <c r="C791" s="4">
        <f>(GDX_data[[#This Row],[Último]]/B790)-1</f>
        <v>2.9219530949634809E-2</v>
      </c>
    </row>
    <row r="792" spans="1:3" x14ac:dyDescent="0.25">
      <c r="A792" s="1">
        <v>45338</v>
      </c>
      <c r="B792" s="2">
        <v>2686</v>
      </c>
      <c r="C792" s="4">
        <f>(GDX_data[[#This Row],[Último]]/B791)-1</f>
        <v>3.3619723571161053E-3</v>
      </c>
    </row>
    <row r="793" spans="1:3" x14ac:dyDescent="0.25">
      <c r="A793" s="1">
        <v>45342</v>
      </c>
      <c r="B793" s="2">
        <v>2699</v>
      </c>
      <c r="C793" s="4">
        <f>(GDX_data[[#This Row],[Último]]/B792)-1</f>
        <v>4.8399106478034248E-3</v>
      </c>
    </row>
    <row r="794" spans="1:3" x14ac:dyDescent="0.25">
      <c r="A794" s="1">
        <v>45343</v>
      </c>
      <c r="B794" s="2">
        <v>2682</v>
      </c>
      <c r="C794" s="4">
        <f>(GDX_data[[#This Row],[Último]]/B793)-1</f>
        <v>-6.298629121897048E-3</v>
      </c>
    </row>
    <row r="795" spans="1:3" x14ac:dyDescent="0.25">
      <c r="A795" s="1">
        <v>45344</v>
      </c>
      <c r="B795" s="2">
        <v>2616</v>
      </c>
      <c r="C795" s="4">
        <f>(GDX_data[[#This Row],[Último]]/B794)-1</f>
        <v>-2.4608501118568271E-2</v>
      </c>
    </row>
    <row r="796" spans="1:3" x14ac:dyDescent="0.25">
      <c r="A796" s="1">
        <v>45345</v>
      </c>
      <c r="B796" s="2">
        <v>2666</v>
      </c>
      <c r="C796" s="4">
        <f>(GDX_data[[#This Row],[Último]]/B795)-1</f>
        <v>1.911314984709489E-2</v>
      </c>
    </row>
    <row r="797" spans="1:3" x14ac:dyDescent="0.25">
      <c r="A797" s="1">
        <v>45348</v>
      </c>
      <c r="B797" s="2">
        <v>2625</v>
      </c>
      <c r="C797" s="4">
        <f>(GDX_data[[#This Row],[Último]]/B796)-1</f>
        <v>-1.5378844711177786E-2</v>
      </c>
    </row>
    <row r="798" spans="1:3" x14ac:dyDescent="0.25">
      <c r="A798" s="1">
        <v>45349</v>
      </c>
      <c r="B798" s="2">
        <v>2603</v>
      </c>
      <c r="C798" s="4">
        <f>(GDX_data[[#This Row],[Último]]/B797)-1</f>
        <v>-8.3809523809523778E-3</v>
      </c>
    </row>
    <row r="799" spans="1:3" x14ac:dyDescent="0.25">
      <c r="A799" s="1">
        <v>45350</v>
      </c>
      <c r="B799" s="2">
        <v>2578</v>
      </c>
      <c r="C799" s="4">
        <f>(GDX_data[[#This Row],[Último]]/B798)-1</f>
        <v>-9.6043027276220272E-3</v>
      </c>
    </row>
    <row r="800" spans="1:3" x14ac:dyDescent="0.25">
      <c r="A800" s="1">
        <v>45351</v>
      </c>
      <c r="B800" s="2">
        <v>2636</v>
      </c>
      <c r="C800" s="4">
        <f>(GDX_data[[#This Row],[Último]]/B799)-1</f>
        <v>2.2498060512024853E-2</v>
      </c>
    </row>
    <row r="801" spans="1:3" x14ac:dyDescent="0.25">
      <c r="A801" s="1">
        <v>45352</v>
      </c>
      <c r="B801" s="2">
        <v>2733</v>
      </c>
      <c r="C801" s="4">
        <f>(GDX_data[[#This Row],[Último]]/B800)-1</f>
        <v>3.679817905918048E-2</v>
      </c>
    </row>
    <row r="802" spans="1:3" x14ac:dyDescent="0.25">
      <c r="A802" s="1">
        <v>45355</v>
      </c>
      <c r="B802" s="2">
        <v>2851</v>
      </c>
      <c r="C802" s="4">
        <f>(GDX_data[[#This Row],[Último]]/B801)-1</f>
        <v>4.3175997072813832E-2</v>
      </c>
    </row>
    <row r="803" spans="1:3" x14ac:dyDescent="0.25">
      <c r="A803" s="1">
        <v>45356</v>
      </c>
      <c r="B803" s="2">
        <v>2866</v>
      </c>
      <c r="C803" s="4">
        <f>(GDX_data[[#This Row],[Último]]/B802)-1</f>
        <v>5.2613118204138942E-3</v>
      </c>
    </row>
    <row r="804" spans="1:3" x14ac:dyDescent="0.25">
      <c r="A804" s="1">
        <v>45357</v>
      </c>
      <c r="B804" s="2">
        <v>2916</v>
      </c>
      <c r="C804" s="4">
        <f>(GDX_data[[#This Row],[Último]]/B803)-1</f>
        <v>1.7445917655268595E-2</v>
      </c>
    </row>
    <row r="805" spans="1:3" x14ac:dyDescent="0.25">
      <c r="A805" s="1">
        <v>45358</v>
      </c>
      <c r="B805" s="2">
        <v>2961</v>
      </c>
      <c r="C805" s="4">
        <f>(GDX_data[[#This Row],[Último]]/B804)-1</f>
        <v>1.5432098765432167E-2</v>
      </c>
    </row>
    <row r="806" spans="1:3" x14ac:dyDescent="0.25">
      <c r="A806" s="1">
        <v>45359</v>
      </c>
      <c r="B806" s="2">
        <v>2964</v>
      </c>
      <c r="C806" s="4">
        <f>(GDX_data[[#This Row],[Último]]/B805)-1</f>
        <v>1.0131712259371373E-3</v>
      </c>
    </row>
    <row r="807" spans="1:3" x14ac:dyDescent="0.25">
      <c r="A807" s="1">
        <v>45362</v>
      </c>
      <c r="B807" s="2">
        <v>3013</v>
      </c>
      <c r="C807" s="4">
        <f>(GDX_data[[#This Row],[Último]]/B806)-1</f>
        <v>1.6531713900134859E-2</v>
      </c>
    </row>
    <row r="808" spans="1:3" x14ac:dyDescent="0.25">
      <c r="A808" s="1">
        <v>45363</v>
      </c>
      <c r="B808" s="2">
        <v>2958</v>
      </c>
      <c r="C808" s="4">
        <f>(GDX_data[[#This Row],[Último]]/B807)-1</f>
        <v>-1.8254231662794607E-2</v>
      </c>
    </row>
    <row r="809" spans="1:3" x14ac:dyDescent="0.25">
      <c r="A809" s="1">
        <v>45364</v>
      </c>
      <c r="B809" s="2">
        <v>3029</v>
      </c>
      <c r="C809" s="4">
        <f>(GDX_data[[#This Row],[Último]]/B808)-1</f>
        <v>2.4002704530087904E-2</v>
      </c>
    </row>
    <row r="810" spans="1:3" x14ac:dyDescent="0.25">
      <c r="A810" s="1">
        <v>45365</v>
      </c>
      <c r="B810" s="2">
        <v>2989</v>
      </c>
      <c r="C810" s="4">
        <f>(GDX_data[[#This Row],[Último]]/B809)-1</f>
        <v>-1.3205678441729929E-2</v>
      </c>
    </row>
    <row r="811" spans="1:3" x14ac:dyDescent="0.25">
      <c r="A811" s="1">
        <v>45366</v>
      </c>
      <c r="B811" s="2">
        <v>2989</v>
      </c>
      <c r="C811" s="4">
        <f>(GDX_data[[#This Row],[Último]]/B810)-1</f>
        <v>0</v>
      </c>
    </row>
    <row r="812" spans="1:3" x14ac:dyDescent="0.25">
      <c r="A812" s="1">
        <v>45369</v>
      </c>
      <c r="B812" s="2">
        <v>2974</v>
      </c>
      <c r="C812" s="4">
        <f>(GDX_data[[#This Row],[Último]]/B811)-1</f>
        <v>-5.018400802944134E-3</v>
      </c>
    </row>
    <row r="813" spans="1:3" x14ac:dyDescent="0.25">
      <c r="A813" s="1">
        <v>45370</v>
      </c>
      <c r="B813" s="2">
        <v>2906</v>
      </c>
      <c r="C813" s="4">
        <f>(GDX_data[[#This Row],[Último]]/B812)-1</f>
        <v>-2.2864828513786128E-2</v>
      </c>
    </row>
    <row r="814" spans="1:3" x14ac:dyDescent="0.25">
      <c r="A814" s="1">
        <v>45371</v>
      </c>
      <c r="B814" s="2">
        <v>3026</v>
      </c>
      <c r="C814" s="4">
        <f>(GDX_data[[#This Row],[Último]]/B813)-1</f>
        <v>4.1293874741913372E-2</v>
      </c>
    </row>
    <row r="815" spans="1:3" x14ac:dyDescent="0.25">
      <c r="A815" s="1">
        <v>45372</v>
      </c>
      <c r="B815" s="2">
        <v>2996</v>
      </c>
      <c r="C815" s="4">
        <f>(GDX_data[[#This Row],[Último]]/B814)-1</f>
        <v>-9.914077990746839E-3</v>
      </c>
    </row>
    <row r="816" spans="1:3" x14ac:dyDescent="0.25">
      <c r="A816" s="1">
        <v>45373</v>
      </c>
      <c r="B816" s="2">
        <v>2960</v>
      </c>
      <c r="C816" s="4">
        <f>(GDX_data[[#This Row],[Último]]/B815)-1</f>
        <v>-1.2016021361815787E-2</v>
      </c>
    </row>
    <row r="817" spans="1:3" x14ac:dyDescent="0.25">
      <c r="A817" s="1">
        <v>45376</v>
      </c>
      <c r="B817" s="2">
        <v>2983</v>
      </c>
      <c r="C817" s="4">
        <f>(GDX_data[[#This Row],[Último]]/B816)-1</f>
        <v>7.7702702702702187E-3</v>
      </c>
    </row>
    <row r="818" spans="1:3" x14ac:dyDescent="0.25">
      <c r="A818" s="1">
        <v>45377</v>
      </c>
      <c r="B818" s="2">
        <v>2985</v>
      </c>
      <c r="C818" s="4">
        <f>(GDX_data[[#This Row],[Último]]/B817)-1</f>
        <v>6.7046597385189699E-4</v>
      </c>
    </row>
    <row r="819" spans="1:3" x14ac:dyDescent="0.25">
      <c r="A819" s="1">
        <v>45378</v>
      </c>
      <c r="B819" s="2">
        <v>3096</v>
      </c>
      <c r="C819" s="4">
        <f>(GDX_data[[#This Row],[Último]]/B818)-1</f>
        <v>3.71859296482413E-2</v>
      </c>
    </row>
    <row r="820" spans="1:3" x14ac:dyDescent="0.25">
      <c r="A820" s="1">
        <v>45379</v>
      </c>
      <c r="B820" s="2">
        <v>3162</v>
      </c>
      <c r="C820" s="4">
        <f>(GDX_data[[#This Row],[Último]]/B819)-1</f>
        <v>2.1317829457364379E-2</v>
      </c>
    </row>
    <row r="821" spans="1:3" x14ac:dyDescent="0.25">
      <c r="A821" s="1">
        <v>45383</v>
      </c>
      <c r="B821" s="2">
        <v>3203</v>
      </c>
      <c r="C821" s="4">
        <f>(GDX_data[[#This Row],[Último]]/B820)-1</f>
        <v>1.2966476913345959E-2</v>
      </c>
    </row>
    <row r="822" spans="1:3" x14ac:dyDescent="0.25">
      <c r="A822" s="1">
        <v>45384</v>
      </c>
      <c r="B822" s="2">
        <v>3244</v>
      </c>
      <c r="C822" s="4">
        <f>(GDX_data[[#This Row],[Último]]/B821)-1</f>
        <v>1.2800499531689047E-2</v>
      </c>
    </row>
    <row r="823" spans="1:3" x14ac:dyDescent="0.25">
      <c r="A823" s="1">
        <v>45385</v>
      </c>
      <c r="B823" s="2">
        <v>3314</v>
      </c>
      <c r="C823" s="4">
        <f>(GDX_data[[#This Row],[Último]]/B822)-1</f>
        <v>2.1578298397040729E-2</v>
      </c>
    </row>
    <row r="824" spans="1:3" x14ac:dyDescent="0.25">
      <c r="A824" s="1">
        <v>45386</v>
      </c>
      <c r="B824" s="2">
        <v>3278</v>
      </c>
      <c r="C824" s="4">
        <f>(GDX_data[[#This Row],[Último]]/B823)-1</f>
        <v>-1.0863005431502759E-2</v>
      </c>
    </row>
    <row r="825" spans="1:3" x14ac:dyDescent="0.25">
      <c r="A825" s="1">
        <v>45387</v>
      </c>
      <c r="B825" s="2">
        <v>3384</v>
      </c>
      <c r="C825" s="4">
        <f>(GDX_data[[#This Row],[Último]]/B824)-1</f>
        <v>3.2336790726052556E-2</v>
      </c>
    </row>
    <row r="826" spans="1:3" x14ac:dyDescent="0.25">
      <c r="A826" s="1">
        <v>45390</v>
      </c>
      <c r="B826" s="2">
        <v>3360</v>
      </c>
      <c r="C826" s="4">
        <f>(GDX_data[[#This Row],[Último]]/B825)-1</f>
        <v>-7.0921985815602939E-3</v>
      </c>
    </row>
    <row r="827" spans="1:3" x14ac:dyDescent="0.25">
      <c r="A827" s="1">
        <v>45391</v>
      </c>
      <c r="B827" s="2">
        <v>3418</v>
      </c>
      <c r="C827" s="4">
        <f>(GDX_data[[#This Row],[Último]]/B826)-1</f>
        <v>1.7261904761904701E-2</v>
      </c>
    </row>
    <row r="828" spans="1:3" x14ac:dyDescent="0.25">
      <c r="A828" s="1">
        <v>45392</v>
      </c>
      <c r="B828" s="2">
        <v>3368</v>
      </c>
      <c r="C828" s="4">
        <f>(GDX_data[[#This Row],[Último]]/B827)-1</f>
        <v>-1.4628437682855489E-2</v>
      </c>
    </row>
    <row r="829" spans="1:3" x14ac:dyDescent="0.25">
      <c r="A829" s="1">
        <v>45393</v>
      </c>
      <c r="B829" s="2">
        <v>3445</v>
      </c>
      <c r="C829" s="4">
        <f>(GDX_data[[#This Row],[Último]]/B828)-1</f>
        <v>2.2862232779097491E-2</v>
      </c>
    </row>
    <row r="830" spans="1:3" x14ac:dyDescent="0.25">
      <c r="A830" s="1">
        <v>45394</v>
      </c>
      <c r="B830" s="2">
        <v>3376</v>
      </c>
      <c r="C830" s="4">
        <f>(GDX_data[[#This Row],[Último]]/B829)-1</f>
        <v>-2.00290275761974E-2</v>
      </c>
    </row>
    <row r="831" spans="1:3" x14ac:dyDescent="0.25">
      <c r="A831" s="1">
        <v>45397</v>
      </c>
      <c r="B831" s="2">
        <v>3353</v>
      </c>
      <c r="C831" s="4">
        <f>(GDX_data[[#This Row],[Último]]/B830)-1</f>
        <v>-6.8127962085308136E-3</v>
      </c>
    </row>
    <row r="832" spans="1:3" x14ac:dyDescent="0.25">
      <c r="A832" s="1">
        <v>45398</v>
      </c>
      <c r="B832" s="2">
        <v>3303</v>
      </c>
      <c r="C832" s="4">
        <f>(GDX_data[[#This Row],[Último]]/B831)-1</f>
        <v>-1.4912019087384487E-2</v>
      </c>
    </row>
    <row r="833" spans="1:3" x14ac:dyDescent="0.25">
      <c r="A833" s="1">
        <v>45399</v>
      </c>
      <c r="B833" s="2">
        <v>3355</v>
      </c>
      <c r="C833" s="4">
        <f>(GDX_data[[#This Row],[Último]]/B832)-1</f>
        <v>1.5743263699667054E-2</v>
      </c>
    </row>
    <row r="834" spans="1:3" x14ac:dyDescent="0.25">
      <c r="A834" s="1">
        <v>45400</v>
      </c>
      <c r="B834" s="2">
        <v>3375</v>
      </c>
      <c r="C834" s="4">
        <f>(GDX_data[[#This Row],[Último]]/B833)-1</f>
        <v>5.9612518628913147E-3</v>
      </c>
    </row>
    <row r="835" spans="1:3" x14ac:dyDescent="0.25">
      <c r="A835" s="1">
        <v>45401</v>
      </c>
      <c r="B835" s="2">
        <v>3407</v>
      </c>
      <c r="C835" s="4">
        <f>(GDX_data[[#This Row],[Último]]/B834)-1</f>
        <v>9.4814814814814241E-3</v>
      </c>
    </row>
    <row r="836" spans="1:3" x14ac:dyDescent="0.25">
      <c r="A836" s="1">
        <v>45404</v>
      </c>
      <c r="B836" s="2">
        <v>3253</v>
      </c>
      <c r="C836" s="4">
        <f>(GDX_data[[#This Row],[Último]]/B835)-1</f>
        <v>-4.5201056648077498E-2</v>
      </c>
    </row>
    <row r="837" spans="1:3" x14ac:dyDescent="0.25">
      <c r="A837" s="1">
        <v>45405</v>
      </c>
      <c r="B837" s="2">
        <v>3305</v>
      </c>
      <c r="C837" s="4">
        <f>(GDX_data[[#This Row],[Último]]/B836)-1</f>
        <v>1.5985244389794095E-2</v>
      </c>
    </row>
    <row r="838" spans="1:3" x14ac:dyDescent="0.25">
      <c r="A838" s="1">
        <v>45406</v>
      </c>
      <c r="B838" s="2">
        <v>3312</v>
      </c>
      <c r="C838" s="4">
        <f>(GDX_data[[#This Row],[Último]]/B837)-1</f>
        <v>2.1180030257186289E-3</v>
      </c>
    </row>
    <row r="839" spans="1:3" x14ac:dyDescent="0.25">
      <c r="A839" s="1">
        <v>45407</v>
      </c>
      <c r="B839" s="2">
        <v>3433</v>
      </c>
      <c r="C839" s="4">
        <f>(GDX_data[[#This Row],[Último]]/B838)-1</f>
        <v>3.6533816425120769E-2</v>
      </c>
    </row>
    <row r="840" spans="1:3" x14ac:dyDescent="0.25">
      <c r="A840" s="1">
        <v>45408</v>
      </c>
      <c r="B840" s="2">
        <v>3458</v>
      </c>
      <c r="C840" s="4">
        <f>(GDX_data[[#This Row],[Último]]/B839)-1</f>
        <v>7.2822604136324465E-3</v>
      </c>
    </row>
    <row r="841" spans="1:3" x14ac:dyDescent="0.25">
      <c r="A841" s="1">
        <v>45411</v>
      </c>
      <c r="B841" s="2">
        <v>3477</v>
      </c>
      <c r="C841" s="4">
        <f>(GDX_data[[#This Row],[Último]]/B840)-1</f>
        <v>5.494505494505475E-3</v>
      </c>
    </row>
    <row r="842" spans="1:3" x14ac:dyDescent="0.25">
      <c r="A842" s="1">
        <v>45412</v>
      </c>
      <c r="B842" s="2">
        <v>3313</v>
      </c>
      <c r="C842" s="4">
        <f>(GDX_data[[#This Row],[Último]]/B841)-1</f>
        <v>-4.7167098073051528E-2</v>
      </c>
    </row>
    <row r="843" spans="1:3" x14ac:dyDescent="0.25">
      <c r="A843" s="1">
        <v>45413</v>
      </c>
      <c r="B843" s="2">
        <v>3332</v>
      </c>
      <c r="C843" s="4">
        <f>(GDX_data[[#This Row],[Último]]/B842)-1</f>
        <v>5.7349833987323517E-3</v>
      </c>
    </row>
    <row r="844" spans="1:3" x14ac:dyDescent="0.25">
      <c r="A844" s="1">
        <v>45414</v>
      </c>
      <c r="B844" s="2">
        <v>3358</v>
      </c>
      <c r="C844" s="4">
        <f>(GDX_data[[#This Row],[Último]]/B843)-1</f>
        <v>7.8031212484994672E-3</v>
      </c>
    </row>
    <row r="845" spans="1:3" x14ac:dyDescent="0.25">
      <c r="A845" s="1">
        <v>45415</v>
      </c>
      <c r="B845" s="2">
        <v>3344</v>
      </c>
      <c r="C845" s="4">
        <f>(GDX_data[[#This Row],[Último]]/B844)-1</f>
        <v>-4.1691483025610987E-3</v>
      </c>
    </row>
    <row r="846" spans="1:3" x14ac:dyDescent="0.25">
      <c r="A846" s="1">
        <v>45418</v>
      </c>
      <c r="B846" s="2">
        <v>3421</v>
      </c>
      <c r="C846" s="4">
        <f>(GDX_data[[#This Row],[Último]]/B845)-1</f>
        <v>2.3026315789473673E-2</v>
      </c>
    </row>
    <row r="847" spans="1:3" x14ac:dyDescent="0.25">
      <c r="A847" s="1">
        <v>45419</v>
      </c>
      <c r="B847" s="2">
        <v>3417</v>
      </c>
      <c r="C847" s="4">
        <f>(GDX_data[[#This Row],[Último]]/B846)-1</f>
        <v>-1.1692487576732136E-3</v>
      </c>
    </row>
    <row r="848" spans="1:3" x14ac:dyDescent="0.25">
      <c r="A848" s="1">
        <v>45420</v>
      </c>
      <c r="B848" s="2">
        <v>3416</v>
      </c>
      <c r="C848" s="4">
        <f>(GDX_data[[#This Row],[Último]]/B847)-1</f>
        <v>-2.9265437518288806E-4</v>
      </c>
    </row>
    <row r="849" spans="1:3" x14ac:dyDescent="0.25">
      <c r="A849" s="1">
        <v>45421</v>
      </c>
      <c r="B849" s="2">
        <v>3536</v>
      </c>
      <c r="C849" s="4">
        <f>(GDX_data[[#This Row],[Último]]/B848)-1</f>
        <v>3.5128805620608938E-2</v>
      </c>
    </row>
    <row r="850" spans="1:3" x14ac:dyDescent="0.25">
      <c r="A850" s="1">
        <v>45422</v>
      </c>
      <c r="B850" s="2">
        <v>3525</v>
      </c>
      <c r="C850" s="4">
        <f>(GDX_data[[#This Row],[Último]]/B849)-1</f>
        <v>-3.1108597285067763E-3</v>
      </c>
    </row>
    <row r="851" spans="1:3" x14ac:dyDescent="0.25">
      <c r="A851" s="1">
        <v>45425</v>
      </c>
      <c r="B851" s="2">
        <v>3495</v>
      </c>
      <c r="C851" s="4">
        <f>(GDX_data[[#This Row],[Último]]/B850)-1</f>
        <v>-8.5106382978723527E-3</v>
      </c>
    </row>
    <row r="852" spans="1:3" x14ac:dyDescent="0.25">
      <c r="A852" s="1">
        <v>45426</v>
      </c>
      <c r="B852" s="2">
        <v>3540</v>
      </c>
      <c r="C852" s="4">
        <f>(GDX_data[[#This Row],[Último]]/B851)-1</f>
        <v>1.2875536480686733E-2</v>
      </c>
    </row>
    <row r="853" spans="1:3" x14ac:dyDescent="0.25">
      <c r="A853" s="1">
        <v>45427</v>
      </c>
      <c r="B853" s="2">
        <v>3591</v>
      </c>
      <c r="C853" s="4">
        <f>(GDX_data[[#This Row],[Último]]/B852)-1</f>
        <v>1.4406779661017E-2</v>
      </c>
    </row>
    <row r="854" spans="1:3" x14ac:dyDescent="0.25">
      <c r="A854" s="1">
        <v>45428</v>
      </c>
      <c r="B854" s="2">
        <v>3566</v>
      </c>
      <c r="C854" s="4">
        <f>(GDX_data[[#This Row],[Último]]/B853)-1</f>
        <v>-6.9618490671122801E-3</v>
      </c>
    </row>
    <row r="855" spans="1:3" x14ac:dyDescent="0.25">
      <c r="A855" s="1">
        <v>45429</v>
      </c>
      <c r="B855" s="2">
        <v>3687</v>
      </c>
      <c r="C855" s="4">
        <f>(GDX_data[[#This Row],[Último]]/B854)-1</f>
        <v>3.3931575995513219E-2</v>
      </c>
    </row>
    <row r="856" spans="1:3" x14ac:dyDescent="0.25">
      <c r="A856" s="1">
        <v>45432</v>
      </c>
      <c r="B856" s="2">
        <v>3724</v>
      </c>
      <c r="C856" s="4">
        <f>(GDX_data[[#This Row],[Último]]/B855)-1</f>
        <v>1.0035259018172038E-2</v>
      </c>
    </row>
    <row r="857" spans="1:3" x14ac:dyDescent="0.25">
      <c r="A857" s="1">
        <v>45433</v>
      </c>
      <c r="B857" s="2">
        <v>3693</v>
      </c>
      <c r="C857" s="4">
        <f>(GDX_data[[#This Row],[Último]]/B856)-1</f>
        <v>-8.3243823845328135E-3</v>
      </c>
    </row>
    <row r="858" spans="1:3" x14ac:dyDescent="0.25">
      <c r="A858" s="1">
        <v>45434</v>
      </c>
      <c r="B858" s="2">
        <v>3545</v>
      </c>
      <c r="C858" s="4">
        <f>(GDX_data[[#This Row],[Último]]/B857)-1</f>
        <v>-4.007581911724889E-2</v>
      </c>
    </row>
    <row r="859" spans="1:3" x14ac:dyDescent="0.25">
      <c r="A859" s="1">
        <v>45435</v>
      </c>
      <c r="B859" s="2">
        <v>3475</v>
      </c>
      <c r="C859" s="4">
        <f>(GDX_data[[#This Row],[Último]]/B858)-1</f>
        <v>-1.9746121297602226E-2</v>
      </c>
    </row>
    <row r="860" spans="1:3" x14ac:dyDescent="0.25">
      <c r="A860" s="1">
        <v>45436</v>
      </c>
      <c r="B860" s="2">
        <v>3526</v>
      </c>
      <c r="C860" s="4">
        <f>(GDX_data[[#This Row],[Último]]/B859)-1</f>
        <v>1.467625899280578E-2</v>
      </c>
    </row>
    <row r="861" spans="1:3" x14ac:dyDescent="0.25">
      <c r="A861" s="1">
        <v>45440</v>
      </c>
      <c r="B861" s="2">
        <v>3610</v>
      </c>
      <c r="C861" s="4">
        <f>(GDX_data[[#This Row],[Último]]/B860)-1</f>
        <v>2.382302892796373E-2</v>
      </c>
    </row>
    <row r="862" spans="1:3" x14ac:dyDescent="0.25">
      <c r="A862" s="1">
        <v>45441</v>
      </c>
      <c r="B862" s="2">
        <v>3519</v>
      </c>
      <c r="C862" s="4">
        <f>(GDX_data[[#This Row],[Último]]/B861)-1</f>
        <v>-2.5207756232687006E-2</v>
      </c>
    </row>
    <row r="863" spans="1:3" x14ac:dyDescent="0.25">
      <c r="A863" s="1">
        <v>45442</v>
      </c>
      <c r="B863" s="2">
        <v>3556</v>
      </c>
      <c r="C863" s="4">
        <f>(GDX_data[[#This Row],[Último]]/B862)-1</f>
        <v>1.0514350667803374E-2</v>
      </c>
    </row>
    <row r="864" spans="1:3" x14ac:dyDescent="0.25">
      <c r="A864" s="1">
        <v>45443</v>
      </c>
      <c r="B864" s="2">
        <v>3530</v>
      </c>
      <c r="C864" s="4">
        <f>(GDX_data[[#This Row],[Último]]/B863)-1</f>
        <v>-7.3115860517435349E-3</v>
      </c>
    </row>
    <row r="865" spans="1:3" x14ac:dyDescent="0.25">
      <c r="A865" s="1">
        <v>45446</v>
      </c>
      <c r="B865" s="2">
        <v>3551</v>
      </c>
      <c r="C865" s="4">
        <f>(GDX_data[[#This Row],[Último]]/B864)-1</f>
        <v>5.9490084985835967E-3</v>
      </c>
    </row>
    <row r="866" spans="1:3" x14ac:dyDescent="0.25">
      <c r="A866" s="1">
        <v>45447</v>
      </c>
      <c r="B866" s="2">
        <v>3418</v>
      </c>
      <c r="C866" s="4">
        <f>(GDX_data[[#This Row],[Último]]/B865)-1</f>
        <v>-3.7454238242748517E-2</v>
      </c>
    </row>
    <row r="867" spans="1:3" x14ac:dyDescent="0.25">
      <c r="A867" s="1">
        <v>45448</v>
      </c>
      <c r="B867" s="2">
        <v>3479</v>
      </c>
      <c r="C867" s="4">
        <f>(GDX_data[[#This Row],[Último]]/B866)-1</f>
        <v>1.7846693973083694E-2</v>
      </c>
    </row>
    <row r="868" spans="1:3" x14ac:dyDescent="0.25">
      <c r="A868" s="1">
        <v>45449</v>
      </c>
      <c r="B868" s="2">
        <v>3601</v>
      </c>
      <c r="C868" s="4">
        <f>(GDX_data[[#This Row],[Último]]/B867)-1</f>
        <v>3.5067548146018979E-2</v>
      </c>
    </row>
    <row r="869" spans="1:3" x14ac:dyDescent="0.25">
      <c r="A869" s="1">
        <v>45450</v>
      </c>
      <c r="B869" s="2">
        <v>3354</v>
      </c>
      <c r="C869" s="4">
        <f>(GDX_data[[#This Row],[Último]]/B868)-1</f>
        <v>-6.8592057761732828E-2</v>
      </c>
    </row>
    <row r="870" spans="1:3" x14ac:dyDescent="0.25">
      <c r="A870" s="1">
        <v>45453</v>
      </c>
      <c r="B870" s="2">
        <v>3403</v>
      </c>
      <c r="C870" s="4">
        <f>(GDX_data[[#This Row],[Último]]/B869)-1</f>
        <v>1.4609421586165849E-2</v>
      </c>
    </row>
    <row r="871" spans="1:3" x14ac:dyDescent="0.25">
      <c r="A871" s="1">
        <v>45454</v>
      </c>
      <c r="B871" s="2">
        <v>3375</v>
      </c>
      <c r="C871" s="4">
        <f>(GDX_data[[#This Row],[Último]]/B870)-1</f>
        <v>-8.2280340875697799E-3</v>
      </c>
    </row>
    <row r="872" spans="1:3" x14ac:dyDescent="0.25">
      <c r="A872" s="1">
        <v>45455</v>
      </c>
      <c r="B872" s="2">
        <v>3400</v>
      </c>
      <c r="C872" s="4">
        <f>(GDX_data[[#This Row],[Último]]/B871)-1</f>
        <v>7.4074074074073071E-3</v>
      </c>
    </row>
    <row r="873" spans="1:3" x14ac:dyDescent="0.25">
      <c r="A873" s="1">
        <v>45456</v>
      </c>
      <c r="B873" s="2">
        <v>3315</v>
      </c>
      <c r="C873" s="4">
        <f>(GDX_data[[#This Row],[Último]]/B872)-1</f>
        <v>-2.5000000000000022E-2</v>
      </c>
    </row>
    <row r="874" spans="1:3" x14ac:dyDescent="0.25">
      <c r="A874" s="1">
        <v>45457</v>
      </c>
      <c r="B874" s="2">
        <v>3341</v>
      </c>
      <c r="C874" s="4">
        <f>(GDX_data[[#This Row],[Último]]/B873)-1</f>
        <v>7.8431372549019329E-3</v>
      </c>
    </row>
    <row r="875" spans="1:3" x14ac:dyDescent="0.25">
      <c r="A875" s="1">
        <v>45460</v>
      </c>
      <c r="B875" s="2">
        <v>3320</v>
      </c>
      <c r="C875" s="4">
        <f>(GDX_data[[#This Row],[Último]]/B874)-1</f>
        <v>-6.2855432505237729E-3</v>
      </c>
    </row>
    <row r="876" spans="1:3" x14ac:dyDescent="0.25">
      <c r="A876" s="1">
        <v>45461</v>
      </c>
      <c r="B876" s="2">
        <v>3370</v>
      </c>
      <c r="C876" s="4">
        <f>(GDX_data[[#This Row],[Último]]/B875)-1</f>
        <v>1.5060240963855387E-2</v>
      </c>
    </row>
    <row r="877" spans="1:3" x14ac:dyDescent="0.25">
      <c r="A877" s="1">
        <v>45463</v>
      </c>
      <c r="B877" s="2">
        <v>3455</v>
      </c>
      <c r="C877" s="4">
        <f>(GDX_data[[#This Row],[Último]]/B876)-1</f>
        <v>2.5222551928783421E-2</v>
      </c>
    </row>
    <row r="878" spans="1:3" x14ac:dyDescent="0.25">
      <c r="A878" s="1">
        <v>45464</v>
      </c>
      <c r="B878" s="2">
        <v>3399</v>
      </c>
      <c r="C878" s="4">
        <f>(GDX_data[[#This Row],[Último]]/B877)-1</f>
        <v>-1.6208393632416773E-2</v>
      </c>
    </row>
    <row r="879" spans="1:3" x14ac:dyDescent="0.25">
      <c r="A879" s="1">
        <v>45467</v>
      </c>
      <c r="B879" s="2">
        <v>3425</v>
      </c>
      <c r="C879" s="4">
        <f>(GDX_data[[#This Row],[Último]]/B878)-1</f>
        <v>7.6493086201823157E-3</v>
      </c>
    </row>
    <row r="880" spans="1:3" x14ac:dyDescent="0.25">
      <c r="A880" s="1">
        <v>45468</v>
      </c>
      <c r="B880" s="2">
        <v>3384</v>
      </c>
      <c r="C880" s="4">
        <f>(GDX_data[[#This Row],[Último]]/B879)-1</f>
        <v>-1.1970802919707979E-2</v>
      </c>
    </row>
    <row r="881" spans="1:3" x14ac:dyDescent="0.25">
      <c r="A881" s="1">
        <v>45469</v>
      </c>
      <c r="B881" s="2">
        <v>3382</v>
      </c>
      <c r="C881" s="4">
        <f>(GDX_data[[#This Row],[Último]]/B880)-1</f>
        <v>-5.9101654846338558E-4</v>
      </c>
    </row>
    <row r="882" spans="1:3" x14ac:dyDescent="0.25">
      <c r="A882" s="1">
        <v>45470</v>
      </c>
      <c r="B882" s="2">
        <v>3423</v>
      </c>
      <c r="C882" s="4">
        <f>(GDX_data[[#This Row],[Último]]/B881)-1</f>
        <v>1.2123004139562354E-2</v>
      </c>
    </row>
    <row r="883" spans="1:3" x14ac:dyDescent="0.25">
      <c r="A883" s="1">
        <v>45471</v>
      </c>
      <c r="B883" s="2">
        <v>3393</v>
      </c>
      <c r="C883" s="4">
        <f>(GDX_data[[#This Row],[Último]]/B882)-1</f>
        <v>-8.76424189307623E-3</v>
      </c>
    </row>
    <row r="884" spans="1:3" x14ac:dyDescent="0.25">
      <c r="A884" s="1">
        <v>45474</v>
      </c>
      <c r="B884" s="2">
        <v>3389</v>
      </c>
      <c r="C884" s="4">
        <f>(GDX_data[[#This Row],[Último]]/B883)-1</f>
        <v>-1.1788977306218529E-3</v>
      </c>
    </row>
    <row r="885" spans="1:3" x14ac:dyDescent="0.25">
      <c r="A885" s="1">
        <v>45475</v>
      </c>
      <c r="B885" s="2">
        <v>3402</v>
      </c>
      <c r="C885" s="4">
        <f>(GDX_data[[#This Row],[Último]]/B884)-1</f>
        <v>3.8359398052523197E-3</v>
      </c>
    </row>
    <row r="886" spans="1:3" x14ac:dyDescent="0.25">
      <c r="A886" s="1">
        <v>45476</v>
      </c>
      <c r="B886" s="2">
        <v>3528</v>
      </c>
      <c r="C886" s="4">
        <f>(GDX_data[[#This Row],[Último]]/B885)-1</f>
        <v>3.7037037037036979E-2</v>
      </c>
    </row>
    <row r="887" spans="1:3" x14ac:dyDescent="0.25">
      <c r="A887" s="1">
        <v>45478</v>
      </c>
      <c r="B887" s="2">
        <v>3627</v>
      </c>
      <c r="C887" s="4">
        <f>(GDX_data[[#This Row],[Último]]/B886)-1</f>
        <v>2.8061224489795977E-2</v>
      </c>
    </row>
    <row r="888" spans="1:3" x14ac:dyDescent="0.25">
      <c r="A888" s="1">
        <v>45481</v>
      </c>
      <c r="B888" s="2">
        <v>3610</v>
      </c>
      <c r="C888" s="4">
        <f>(GDX_data[[#This Row],[Último]]/B887)-1</f>
        <v>-4.6870692031982797E-3</v>
      </c>
    </row>
    <row r="889" spans="1:3" x14ac:dyDescent="0.25">
      <c r="A889" s="1">
        <v>45482</v>
      </c>
      <c r="B889" s="2">
        <v>3611</v>
      </c>
      <c r="C889" s="4">
        <f>(GDX_data[[#This Row],[Último]]/B888)-1</f>
        <v>2.7700831024923822E-4</v>
      </c>
    </row>
    <row r="890" spans="1:3" x14ac:dyDescent="0.25">
      <c r="A890" s="1">
        <v>45483</v>
      </c>
      <c r="B890" s="2">
        <v>3705</v>
      </c>
      <c r="C890" s="4">
        <f>(GDX_data[[#This Row],[Último]]/B889)-1</f>
        <v>2.603157020216007E-2</v>
      </c>
    </row>
    <row r="891" spans="1:3" x14ac:dyDescent="0.25">
      <c r="A891" s="1">
        <v>45484</v>
      </c>
      <c r="B891" s="2">
        <v>3809</v>
      </c>
      <c r="C891" s="4">
        <f>(GDX_data[[#This Row],[Último]]/B890)-1</f>
        <v>2.8070175438596578E-2</v>
      </c>
    </row>
    <row r="892" spans="1:3" x14ac:dyDescent="0.25">
      <c r="A892" s="1">
        <v>45485</v>
      </c>
      <c r="B892" s="2">
        <v>3817</v>
      </c>
      <c r="C892" s="4">
        <f>(GDX_data[[#This Row],[Último]]/B891)-1</f>
        <v>2.100288789708582E-3</v>
      </c>
    </row>
    <row r="893" spans="1:3" x14ac:dyDescent="0.25">
      <c r="A893" s="1">
        <v>45488</v>
      </c>
      <c r="B893" s="2">
        <v>3795</v>
      </c>
      <c r="C893" s="4">
        <f>(GDX_data[[#This Row],[Último]]/B892)-1</f>
        <v>-5.7636887608069065E-3</v>
      </c>
    </row>
    <row r="894" spans="1:3" x14ac:dyDescent="0.25">
      <c r="A894" s="1">
        <v>45489</v>
      </c>
      <c r="B894" s="2">
        <v>3928</v>
      </c>
      <c r="C894" s="4">
        <f>(GDX_data[[#This Row],[Último]]/B893)-1</f>
        <v>3.5046113306982818E-2</v>
      </c>
    </row>
    <row r="895" spans="1:3" x14ac:dyDescent="0.25">
      <c r="A895" s="1">
        <v>45490</v>
      </c>
      <c r="B895" s="2">
        <v>3844</v>
      </c>
      <c r="C895" s="4">
        <f>(GDX_data[[#This Row],[Último]]/B894)-1</f>
        <v>-2.1384928716904228E-2</v>
      </c>
    </row>
    <row r="896" spans="1:3" x14ac:dyDescent="0.25">
      <c r="A896" s="1">
        <v>45491</v>
      </c>
      <c r="B896" s="2">
        <v>3787</v>
      </c>
      <c r="C896" s="4">
        <f>(GDX_data[[#This Row],[Último]]/B895)-1</f>
        <v>-1.4828303850156099E-2</v>
      </c>
    </row>
    <row r="897" spans="1:3" x14ac:dyDescent="0.25">
      <c r="A897" s="1">
        <v>45492</v>
      </c>
      <c r="B897" s="2">
        <v>3739</v>
      </c>
      <c r="C897" s="4">
        <f>(GDX_data[[#This Row],[Último]]/B896)-1</f>
        <v>-1.2674940586215988E-2</v>
      </c>
    </row>
    <row r="898" spans="1:3" x14ac:dyDescent="0.25">
      <c r="A898" s="1">
        <v>45495</v>
      </c>
      <c r="B898" s="2">
        <v>3745</v>
      </c>
      <c r="C898" s="4">
        <f>(GDX_data[[#This Row],[Último]]/B897)-1</f>
        <v>1.6047071409468483E-3</v>
      </c>
    </row>
    <row r="899" spans="1:3" x14ac:dyDescent="0.25">
      <c r="A899" s="1">
        <v>45496</v>
      </c>
      <c r="B899" s="2">
        <v>3745</v>
      </c>
      <c r="C899" s="4">
        <f>(GDX_data[[#This Row],[Último]]/B898)-1</f>
        <v>0</v>
      </c>
    </row>
    <row r="900" spans="1:3" x14ac:dyDescent="0.25">
      <c r="A900" s="1">
        <v>45497</v>
      </c>
      <c r="B900" s="2">
        <v>3723</v>
      </c>
      <c r="C900" s="4">
        <f>(GDX_data[[#This Row],[Último]]/B899)-1</f>
        <v>-5.8744993324432171E-3</v>
      </c>
    </row>
    <row r="901" spans="1:3" x14ac:dyDescent="0.25">
      <c r="A901" s="1">
        <v>45498</v>
      </c>
      <c r="B901" s="2">
        <v>3619</v>
      </c>
      <c r="C901" s="4">
        <f>(GDX_data[[#This Row],[Último]]/B900)-1</f>
        <v>-2.793446145581524E-2</v>
      </c>
    </row>
    <row r="902" spans="1:3" x14ac:dyDescent="0.25">
      <c r="A902" s="1">
        <v>45499</v>
      </c>
      <c r="B902" s="2">
        <v>3648</v>
      </c>
      <c r="C902" s="4">
        <f>(GDX_data[[#This Row],[Último]]/B901)-1</f>
        <v>8.0132633324123681E-3</v>
      </c>
    </row>
    <row r="903" spans="1:3" x14ac:dyDescent="0.25">
      <c r="A903" s="1">
        <v>45502</v>
      </c>
      <c r="B903" s="2">
        <v>3664</v>
      </c>
      <c r="C903" s="4">
        <f>(GDX_data[[#This Row],[Último]]/B902)-1</f>
        <v>4.3859649122806044E-3</v>
      </c>
    </row>
    <row r="904" spans="1:3" x14ac:dyDescent="0.25">
      <c r="A904" s="1">
        <v>45503</v>
      </c>
      <c r="B904" s="2">
        <v>3695</v>
      </c>
      <c r="C904" s="4">
        <f>(GDX_data[[#This Row],[Último]]/B903)-1</f>
        <v>8.4606986899562475E-3</v>
      </c>
    </row>
    <row r="905" spans="1:3" x14ac:dyDescent="0.25">
      <c r="A905" s="1">
        <v>45504</v>
      </c>
      <c r="B905" s="2">
        <v>3793</v>
      </c>
      <c r="C905" s="4">
        <f>(GDX_data[[#This Row],[Último]]/B904)-1</f>
        <v>2.6522327469553408E-2</v>
      </c>
    </row>
    <row r="906" spans="1:3" x14ac:dyDescent="0.25">
      <c r="A906" s="1">
        <v>45505</v>
      </c>
      <c r="B906" s="2">
        <v>3727</v>
      </c>
      <c r="C906" s="4">
        <f>(GDX_data[[#This Row],[Último]]/B905)-1</f>
        <v>-1.7400474558396994E-2</v>
      </c>
    </row>
    <row r="907" spans="1:3" x14ac:dyDescent="0.25">
      <c r="A907" s="1">
        <v>45506</v>
      </c>
      <c r="B907" s="2">
        <v>3648</v>
      </c>
      <c r="C907" s="4">
        <f>(GDX_data[[#This Row],[Último]]/B906)-1</f>
        <v>-2.119667292728733E-2</v>
      </c>
    </row>
    <row r="908" spans="1:3" x14ac:dyDescent="0.25">
      <c r="A908" s="1">
        <v>45509</v>
      </c>
      <c r="B908" s="2">
        <v>3534</v>
      </c>
      <c r="C908" s="4">
        <f>(GDX_data[[#This Row],[Último]]/B907)-1</f>
        <v>-3.125E-2</v>
      </c>
    </row>
    <row r="909" spans="1:3" x14ac:dyDescent="0.25">
      <c r="A909" s="1">
        <v>45510</v>
      </c>
      <c r="B909" s="2">
        <v>3563</v>
      </c>
      <c r="C909" s="4">
        <f>(GDX_data[[#This Row],[Último]]/B908)-1</f>
        <v>8.2059988681379981E-3</v>
      </c>
    </row>
    <row r="910" spans="1:3" x14ac:dyDescent="0.25">
      <c r="A910" s="1">
        <v>45511</v>
      </c>
      <c r="B910" s="2">
        <v>3471</v>
      </c>
      <c r="C910" s="4">
        <f>(GDX_data[[#This Row],[Último]]/B909)-1</f>
        <v>-2.5820937412292966E-2</v>
      </c>
    </row>
    <row r="911" spans="1:3" x14ac:dyDescent="0.25">
      <c r="A911" s="1">
        <v>45512</v>
      </c>
      <c r="B911" s="2">
        <v>3555</v>
      </c>
      <c r="C911" s="4">
        <f>(GDX_data[[#This Row],[Último]]/B910)-1</f>
        <v>2.4200518582541131E-2</v>
      </c>
    </row>
    <row r="912" spans="1:3" x14ac:dyDescent="0.25">
      <c r="A912" s="1">
        <v>45513</v>
      </c>
      <c r="B912" s="2">
        <v>3584</v>
      </c>
      <c r="C912" s="4">
        <f>(GDX_data[[#This Row],[Último]]/B911)-1</f>
        <v>8.1575246132208346E-3</v>
      </c>
    </row>
    <row r="913" spans="1:3" x14ac:dyDescent="0.25">
      <c r="A913" s="1">
        <v>45516</v>
      </c>
      <c r="B913" s="2">
        <v>3690</v>
      </c>
      <c r="C913" s="4">
        <f>(GDX_data[[#This Row],[Último]]/B912)-1</f>
        <v>2.9575892857142794E-2</v>
      </c>
    </row>
    <row r="914" spans="1:3" x14ac:dyDescent="0.25">
      <c r="A914" s="1">
        <v>45517</v>
      </c>
      <c r="B914" s="2">
        <v>3738</v>
      </c>
      <c r="C914" s="4">
        <f>(GDX_data[[#This Row],[Último]]/B913)-1</f>
        <v>1.3008130081300751E-2</v>
      </c>
    </row>
    <row r="915" spans="1:3" x14ac:dyDescent="0.25">
      <c r="A915" s="1">
        <v>45518</v>
      </c>
      <c r="B915" s="2">
        <v>3711</v>
      </c>
      <c r="C915" s="4">
        <f>(GDX_data[[#This Row],[Último]]/B914)-1</f>
        <v>-7.2231139646870002E-3</v>
      </c>
    </row>
    <row r="916" spans="1:3" x14ac:dyDescent="0.25">
      <c r="A916" s="1">
        <v>45519</v>
      </c>
      <c r="B916" s="2">
        <v>3729</v>
      </c>
      <c r="C916" s="4">
        <f>(GDX_data[[#This Row],[Último]]/B915)-1</f>
        <v>4.8504446240904553E-3</v>
      </c>
    </row>
    <row r="917" spans="1:3" x14ac:dyDescent="0.25">
      <c r="A917" s="1">
        <v>45520</v>
      </c>
      <c r="B917" s="2">
        <v>3849</v>
      </c>
      <c r="C917" s="4">
        <f>(GDX_data[[#This Row],[Último]]/B916)-1</f>
        <v>3.2180209171359664E-2</v>
      </c>
    </row>
    <row r="918" spans="1:3" x14ac:dyDescent="0.25">
      <c r="A918" s="1">
        <v>45523</v>
      </c>
      <c r="B918" s="2">
        <v>3922</v>
      </c>
      <c r="C918" s="4">
        <f>(GDX_data[[#This Row],[Último]]/B917)-1</f>
        <v>1.8965965185762546E-2</v>
      </c>
    </row>
    <row r="919" spans="1:3" x14ac:dyDescent="0.25">
      <c r="A919" s="1">
        <v>45524</v>
      </c>
      <c r="B919" s="2">
        <v>3950</v>
      </c>
      <c r="C919" s="4">
        <f>(GDX_data[[#This Row],[Último]]/B918)-1</f>
        <v>7.1392146863844541E-3</v>
      </c>
    </row>
    <row r="920" spans="1:3" x14ac:dyDescent="0.25">
      <c r="A920" s="1">
        <v>45525</v>
      </c>
      <c r="B920" s="2">
        <v>3977</v>
      </c>
      <c r="C920" s="4">
        <f>(GDX_data[[#This Row],[Último]]/B919)-1</f>
        <v>6.8354430379746756E-3</v>
      </c>
    </row>
    <row r="921" spans="1:3" x14ac:dyDescent="0.25">
      <c r="A921" s="1">
        <v>45526</v>
      </c>
      <c r="B921" s="2">
        <v>3878</v>
      </c>
      <c r="C921" s="4">
        <f>(GDX_data[[#This Row],[Último]]/B920)-1</f>
        <v>-2.4893135529293398E-2</v>
      </c>
    </row>
    <row r="922" spans="1:3" x14ac:dyDescent="0.25">
      <c r="A922" s="1">
        <v>45527</v>
      </c>
      <c r="B922" s="2">
        <v>3934</v>
      </c>
      <c r="C922" s="4">
        <f>(GDX_data[[#This Row],[Último]]/B921)-1</f>
        <v>1.4440433212996373E-2</v>
      </c>
    </row>
    <row r="923" spans="1:3" x14ac:dyDescent="0.25">
      <c r="A923" s="1">
        <v>45530</v>
      </c>
      <c r="B923" s="2">
        <v>3923</v>
      </c>
      <c r="C923" s="4">
        <f>(GDX_data[[#This Row],[Último]]/B922)-1</f>
        <v>-2.7961362480934948E-3</v>
      </c>
    </row>
    <row r="924" spans="1:3" x14ac:dyDescent="0.25">
      <c r="A924" s="1">
        <v>45531</v>
      </c>
      <c r="B924" s="2">
        <v>3922</v>
      </c>
      <c r="C924" s="4">
        <f>(GDX_data[[#This Row],[Último]]/B923)-1</f>
        <v>-2.5490695896002169E-4</v>
      </c>
    </row>
    <row r="925" spans="1:3" x14ac:dyDescent="0.25">
      <c r="A925" s="1">
        <v>45532</v>
      </c>
      <c r="B925" s="2">
        <v>3836</v>
      </c>
      <c r="C925" s="4">
        <f>(GDX_data[[#This Row],[Último]]/B924)-1</f>
        <v>-2.1927587965323792E-2</v>
      </c>
    </row>
    <row r="926" spans="1:3" x14ac:dyDescent="0.25">
      <c r="A926" s="1">
        <v>45533</v>
      </c>
      <c r="B926" s="2">
        <v>3888</v>
      </c>
      <c r="C926" s="4">
        <f>(GDX_data[[#This Row],[Último]]/B925)-1</f>
        <v>1.355578727841511E-2</v>
      </c>
    </row>
    <row r="927" spans="1:3" x14ac:dyDescent="0.25">
      <c r="A927" s="1">
        <v>45534</v>
      </c>
      <c r="B927" s="2">
        <v>3862</v>
      </c>
      <c r="C927" s="4">
        <f>(GDX_data[[#This Row],[Último]]/B926)-1</f>
        <v>-6.6872427983538651E-3</v>
      </c>
    </row>
    <row r="928" spans="1:3" x14ac:dyDescent="0.25">
      <c r="A928" s="1">
        <v>45538</v>
      </c>
      <c r="B928" s="2">
        <v>3727</v>
      </c>
      <c r="C928" s="4">
        <f>(GDX_data[[#This Row],[Último]]/B927)-1</f>
        <v>-3.4955981356809995E-2</v>
      </c>
    </row>
    <row r="929" spans="1:3" x14ac:dyDescent="0.25">
      <c r="A929" s="1">
        <v>45539</v>
      </c>
      <c r="B929" s="2">
        <v>3691</v>
      </c>
      <c r="C929" s="4">
        <f>(GDX_data[[#This Row],[Último]]/B928)-1</f>
        <v>-9.6592433592701532E-3</v>
      </c>
    </row>
    <row r="930" spans="1:3" x14ac:dyDescent="0.25">
      <c r="A930" s="1">
        <v>45540</v>
      </c>
      <c r="B930" s="2">
        <v>3733</v>
      </c>
      <c r="C930" s="4">
        <f>(GDX_data[[#This Row],[Último]]/B929)-1</f>
        <v>1.1379030073150886E-2</v>
      </c>
    </row>
    <row r="931" spans="1:3" x14ac:dyDescent="0.25">
      <c r="A931" s="1">
        <v>45541</v>
      </c>
      <c r="B931" s="2">
        <v>3632</v>
      </c>
      <c r="C931" s="4">
        <f>(GDX_data[[#This Row],[Último]]/B930)-1</f>
        <v>-2.7055987141709092E-2</v>
      </c>
    </row>
    <row r="932" spans="1:3" x14ac:dyDescent="0.25">
      <c r="A932" s="1">
        <v>45544</v>
      </c>
      <c r="B932" s="2">
        <v>3676</v>
      </c>
      <c r="C932" s="4">
        <f>(GDX_data[[#This Row],[Último]]/B931)-1</f>
        <v>1.2114537444933848E-2</v>
      </c>
    </row>
    <row r="933" spans="1:3" x14ac:dyDescent="0.25">
      <c r="A933" s="1">
        <v>45545</v>
      </c>
      <c r="B933" s="2">
        <v>3722</v>
      </c>
      <c r="C933" s="4">
        <f>(GDX_data[[#This Row],[Último]]/B932)-1</f>
        <v>1.2513601741022784E-2</v>
      </c>
    </row>
    <row r="934" spans="1:3" x14ac:dyDescent="0.25">
      <c r="A934" s="1">
        <v>45546</v>
      </c>
      <c r="B934" s="2">
        <v>3739</v>
      </c>
      <c r="C934" s="4">
        <f>(GDX_data[[#This Row],[Último]]/B933)-1</f>
        <v>4.5674368619021966E-3</v>
      </c>
    </row>
    <row r="935" spans="1:3" x14ac:dyDescent="0.25">
      <c r="A935" s="1">
        <v>45547</v>
      </c>
      <c r="B935" s="2">
        <v>3921</v>
      </c>
      <c r="C935" s="4">
        <f>(GDX_data[[#This Row],[Último]]/B934)-1</f>
        <v>4.8676116608718845E-2</v>
      </c>
    </row>
    <row r="936" spans="1:3" x14ac:dyDescent="0.25">
      <c r="A936" s="1">
        <v>45548</v>
      </c>
      <c r="B936" s="2">
        <v>4009</v>
      </c>
      <c r="C936" s="4">
        <f>(GDX_data[[#This Row],[Último]]/B935)-1</f>
        <v>2.2443254271869328E-2</v>
      </c>
    </row>
    <row r="937" spans="1:3" x14ac:dyDescent="0.25">
      <c r="A937" s="1">
        <v>45551</v>
      </c>
      <c r="B937" s="2">
        <v>3989</v>
      </c>
      <c r="C937" s="4">
        <f>(GDX_data[[#This Row],[Último]]/B936)-1</f>
        <v>-4.98877525567476E-3</v>
      </c>
    </row>
    <row r="938" spans="1:3" x14ac:dyDescent="0.25">
      <c r="A938" s="1">
        <v>45552</v>
      </c>
      <c r="B938" s="2">
        <v>3949</v>
      </c>
      <c r="C938" s="4">
        <f>(GDX_data[[#This Row],[Último]]/B937)-1</f>
        <v>-1.0027575833542191E-2</v>
      </c>
    </row>
    <row r="939" spans="1:3" x14ac:dyDescent="0.25">
      <c r="A939" s="1">
        <v>45553</v>
      </c>
      <c r="B939" s="2">
        <v>3906</v>
      </c>
      <c r="C939" s="4">
        <f>(GDX_data[[#This Row],[Último]]/B938)-1</f>
        <v>-1.0888832615852162E-2</v>
      </c>
    </row>
    <row r="940" spans="1:3" x14ac:dyDescent="0.25">
      <c r="A940" s="1">
        <v>45554</v>
      </c>
      <c r="B940" s="2">
        <v>3972</v>
      </c>
      <c r="C940" s="4">
        <f>(GDX_data[[#This Row],[Último]]/B939)-1</f>
        <v>1.6897081413210335E-2</v>
      </c>
    </row>
    <row r="941" spans="1:3" x14ac:dyDescent="0.25">
      <c r="A941" s="1">
        <v>45555</v>
      </c>
      <c r="B941" s="2">
        <v>4051</v>
      </c>
      <c r="C941" s="4">
        <f>(GDX_data[[#This Row],[Último]]/B940)-1</f>
        <v>1.9889224572003927E-2</v>
      </c>
    </row>
    <row r="942" spans="1:3" x14ac:dyDescent="0.25">
      <c r="A942" s="1">
        <v>45558</v>
      </c>
      <c r="B942" s="2">
        <v>4033</v>
      </c>
      <c r="C942" s="4">
        <f>(GDX_data[[#This Row],[Último]]/B941)-1</f>
        <v>-4.4433473216489716E-3</v>
      </c>
    </row>
    <row r="943" spans="1:3" x14ac:dyDescent="0.25">
      <c r="A943" s="1">
        <v>45559</v>
      </c>
      <c r="B943" s="2">
        <v>4141</v>
      </c>
      <c r="C943" s="4">
        <f>(GDX_data[[#This Row],[Último]]/B942)-1</f>
        <v>2.6779072650632285E-2</v>
      </c>
    </row>
    <row r="944" spans="1:3" x14ac:dyDescent="0.25">
      <c r="A944" s="1">
        <v>45560</v>
      </c>
      <c r="B944" s="2">
        <v>4131</v>
      </c>
      <c r="C944" s="4">
        <f>(GDX_data[[#This Row],[Último]]/B943)-1</f>
        <v>-2.414875633904856E-3</v>
      </c>
    </row>
    <row r="945" spans="1:3" x14ac:dyDescent="0.25">
      <c r="A945" s="1">
        <v>45561</v>
      </c>
      <c r="B945" s="2">
        <v>4164</v>
      </c>
      <c r="C945" s="4">
        <f>(GDX_data[[#This Row],[Último]]/B944)-1</f>
        <v>7.9883805374001415E-3</v>
      </c>
    </row>
    <row r="946" spans="1:3" x14ac:dyDescent="0.25">
      <c r="A946" s="1">
        <v>45562</v>
      </c>
      <c r="B946" s="2">
        <v>4036</v>
      </c>
      <c r="C946" s="4">
        <f>(GDX_data[[#This Row],[Último]]/B945)-1</f>
        <v>-3.0739673390970168E-2</v>
      </c>
    </row>
    <row r="947" spans="1:3" x14ac:dyDescent="0.25">
      <c r="A947" s="1">
        <v>45565</v>
      </c>
      <c r="B947" s="2">
        <v>3982</v>
      </c>
      <c r="C947" s="4">
        <f>(GDX_data[[#This Row],[Último]]/B946)-1</f>
        <v>-1.3379583746283452E-2</v>
      </c>
    </row>
    <row r="948" spans="1:3" x14ac:dyDescent="0.25">
      <c r="A948" s="1">
        <v>45566</v>
      </c>
      <c r="B948" s="2">
        <v>4045</v>
      </c>
      <c r="C948" s="4">
        <f>(GDX_data[[#This Row],[Último]]/B947)-1</f>
        <v>1.5821195379206454E-2</v>
      </c>
    </row>
    <row r="949" spans="1:3" x14ac:dyDescent="0.25">
      <c r="A949" s="1">
        <v>45567</v>
      </c>
      <c r="B949" s="2">
        <v>4037</v>
      </c>
      <c r="C949" s="4">
        <f>(GDX_data[[#This Row],[Último]]/B948)-1</f>
        <v>-1.9777503090234738E-3</v>
      </c>
    </row>
    <row r="950" spans="1:3" x14ac:dyDescent="0.25">
      <c r="A950" s="1">
        <v>45568</v>
      </c>
      <c r="B950" s="2">
        <v>3956</v>
      </c>
      <c r="C950" s="4">
        <f>(GDX_data[[#This Row],[Último]]/B949)-1</f>
        <v>-2.006440426058953E-2</v>
      </c>
    </row>
    <row r="951" spans="1:3" x14ac:dyDescent="0.25">
      <c r="A951" s="1">
        <v>45569</v>
      </c>
      <c r="B951" s="2">
        <v>3955</v>
      </c>
      <c r="C951" s="4">
        <f>(GDX_data[[#This Row],[Último]]/B950)-1</f>
        <v>-2.5278058645095136E-4</v>
      </c>
    </row>
    <row r="952" spans="1:3" x14ac:dyDescent="0.25">
      <c r="A952" s="1">
        <v>45572</v>
      </c>
      <c r="B952" s="2">
        <v>3903</v>
      </c>
      <c r="C952" s="4">
        <f>(GDX_data[[#This Row],[Último]]/B951)-1</f>
        <v>-1.3147914032869745E-2</v>
      </c>
    </row>
    <row r="953" spans="1:3" x14ac:dyDescent="0.25">
      <c r="A953" s="1">
        <v>45573</v>
      </c>
      <c r="B953" s="2">
        <v>3899</v>
      </c>
      <c r="C953" s="4">
        <f>(GDX_data[[#This Row],[Último]]/B952)-1</f>
        <v>-1.024852677427579E-3</v>
      </c>
    </row>
    <row r="954" spans="1:3" x14ac:dyDescent="0.25">
      <c r="A954" s="1">
        <v>45574</v>
      </c>
      <c r="B954" s="2">
        <v>3879</v>
      </c>
      <c r="C954" s="4">
        <f>(GDX_data[[#This Row],[Último]]/B953)-1</f>
        <v>-5.1295203898436004E-3</v>
      </c>
    </row>
    <row r="955" spans="1:3" x14ac:dyDescent="0.25">
      <c r="A955" s="1">
        <v>45575</v>
      </c>
      <c r="B955" s="2">
        <v>3987</v>
      </c>
      <c r="C955" s="4">
        <f>(GDX_data[[#This Row],[Último]]/B954)-1</f>
        <v>2.7842227378190199E-2</v>
      </c>
    </row>
    <row r="956" spans="1:3" x14ac:dyDescent="0.25">
      <c r="A956" s="1">
        <v>45576</v>
      </c>
      <c r="B956" s="2">
        <v>4005</v>
      </c>
      <c r="C956" s="4">
        <f>(GDX_data[[#This Row],[Último]]/B955)-1</f>
        <v>4.5146726862301811E-3</v>
      </c>
    </row>
    <row r="957" spans="1:3" x14ac:dyDescent="0.25">
      <c r="A957" s="1">
        <v>45579</v>
      </c>
      <c r="B957" s="2">
        <v>4016</v>
      </c>
      <c r="C957" s="4">
        <f>(GDX_data[[#This Row],[Último]]/B956)-1</f>
        <v>2.7465667915105296E-3</v>
      </c>
    </row>
    <row r="958" spans="1:3" x14ac:dyDescent="0.25">
      <c r="A958" s="1">
        <v>45580</v>
      </c>
      <c r="B958" s="2">
        <v>4068</v>
      </c>
      <c r="C958" s="4">
        <f>(GDX_data[[#This Row],[Último]]/B957)-1</f>
        <v>1.294820717131473E-2</v>
      </c>
    </row>
    <row r="959" spans="1:3" x14ac:dyDescent="0.25">
      <c r="A959" s="1">
        <v>45581</v>
      </c>
      <c r="B959" s="2">
        <v>4100</v>
      </c>
      <c r="C959" s="4">
        <f>(GDX_data[[#This Row],[Último]]/B958)-1</f>
        <v>7.8662733529990536E-3</v>
      </c>
    </row>
    <row r="960" spans="1:3" x14ac:dyDescent="0.25">
      <c r="A960" s="1">
        <v>45582</v>
      </c>
      <c r="B960" s="2">
        <v>4149</v>
      </c>
      <c r="C960" s="4">
        <f>(GDX_data[[#This Row],[Último]]/B959)-1</f>
        <v>1.1951219512195133E-2</v>
      </c>
    </row>
    <row r="961" spans="1:3" x14ac:dyDescent="0.25">
      <c r="A961" s="1">
        <v>45583</v>
      </c>
      <c r="B961" s="2">
        <v>4315</v>
      </c>
      <c r="C961" s="4">
        <f>(GDX_data[[#This Row],[Último]]/B960)-1</f>
        <v>4.0009640877319841E-2</v>
      </c>
    </row>
    <row r="962" spans="1:3" x14ac:dyDescent="0.25">
      <c r="A962" s="1">
        <v>45586</v>
      </c>
      <c r="B962" s="2">
        <v>4322</v>
      </c>
      <c r="C962" s="4">
        <f>(GDX_data[[#This Row],[Último]]/B961)-1</f>
        <v>1.6222479721901273E-3</v>
      </c>
    </row>
    <row r="963" spans="1:3" x14ac:dyDescent="0.25">
      <c r="A963" s="1">
        <v>45587</v>
      </c>
      <c r="B963" s="2">
        <v>4409</v>
      </c>
      <c r="C963" s="4">
        <f>(GDX_data[[#This Row],[Último]]/B962)-1</f>
        <v>2.0129569643683398E-2</v>
      </c>
    </row>
    <row r="964" spans="1:3" x14ac:dyDescent="0.25">
      <c r="A964" s="1">
        <v>45588</v>
      </c>
      <c r="B964" s="2">
        <v>4326</v>
      </c>
      <c r="C964" s="4">
        <f>(GDX_data[[#This Row],[Último]]/B963)-1</f>
        <v>-1.8825130415060065E-2</v>
      </c>
    </row>
    <row r="965" spans="1:3" x14ac:dyDescent="0.25">
      <c r="A965" s="1">
        <v>45589</v>
      </c>
      <c r="B965" s="2">
        <v>4213</v>
      </c>
      <c r="C965" s="4">
        <f>(GDX_data[[#This Row],[Último]]/B964)-1</f>
        <v>-2.6121128062875587E-2</v>
      </c>
    </row>
    <row r="966" spans="1:3" x14ac:dyDescent="0.25">
      <c r="A966" s="1">
        <v>45590</v>
      </c>
      <c r="B966" s="2">
        <v>4156</v>
      </c>
      <c r="C966" s="4">
        <f>(GDX_data[[#This Row],[Último]]/B965)-1</f>
        <v>-1.3529551388559269E-2</v>
      </c>
    </row>
    <row r="967" spans="1:3" x14ac:dyDescent="0.25">
      <c r="A967" s="1">
        <v>45593</v>
      </c>
      <c r="B967" s="2">
        <v>4136</v>
      </c>
      <c r="C967" s="4">
        <f>(GDX_data[[#This Row],[Último]]/B966)-1</f>
        <v>-4.8123195380173067E-3</v>
      </c>
    </row>
    <row r="968" spans="1:3" x14ac:dyDescent="0.25">
      <c r="A968" s="1">
        <v>45594</v>
      </c>
      <c r="B968" s="2">
        <v>4202</v>
      </c>
      <c r="C968" s="4">
        <f>(GDX_data[[#This Row],[Último]]/B967)-1</f>
        <v>1.5957446808510634E-2</v>
      </c>
    </row>
    <row r="969" spans="1:3" x14ac:dyDescent="0.25">
      <c r="A969" s="1">
        <v>45595</v>
      </c>
      <c r="B969" s="2">
        <v>4151</v>
      </c>
      <c r="C969" s="4">
        <f>(GDX_data[[#This Row],[Último]]/B968)-1</f>
        <v>-1.2137077582103806E-2</v>
      </c>
    </row>
    <row r="970" spans="1:3" x14ac:dyDescent="0.25">
      <c r="A970" s="1">
        <v>45596</v>
      </c>
      <c r="B970" s="2">
        <v>4034</v>
      </c>
      <c r="C970" s="4">
        <f>(GDX_data[[#This Row],[Último]]/B969)-1</f>
        <v>-2.8185979282100648E-2</v>
      </c>
    </row>
    <row r="971" spans="1:3" x14ac:dyDescent="0.25">
      <c r="A971" s="1">
        <v>45597</v>
      </c>
      <c r="B971" s="2">
        <v>3985</v>
      </c>
      <c r="C971" s="4">
        <f>(GDX_data[[#This Row],[Último]]/B970)-1</f>
        <v>-1.2146752602875566E-2</v>
      </c>
    </row>
    <row r="972" spans="1:3" x14ac:dyDescent="0.25">
      <c r="A972" s="1">
        <v>45600</v>
      </c>
      <c r="B972" s="2">
        <v>3990</v>
      </c>
      <c r="C972" s="4">
        <f>(GDX_data[[#This Row],[Último]]/B971)-1</f>
        <v>1.2547051442910462E-3</v>
      </c>
    </row>
    <row r="973" spans="1:3" x14ac:dyDescent="0.25">
      <c r="A973" s="1">
        <v>45601</v>
      </c>
      <c r="B973" s="2">
        <v>4011</v>
      </c>
      <c r="C973" s="4">
        <f>(GDX_data[[#This Row],[Último]]/B972)-1</f>
        <v>5.2631578947368585E-3</v>
      </c>
    </row>
    <row r="974" spans="1:3" x14ac:dyDescent="0.25">
      <c r="A974" s="1">
        <v>45602</v>
      </c>
      <c r="B974" s="2">
        <v>3864</v>
      </c>
      <c r="C974" s="4">
        <f>(GDX_data[[#This Row],[Último]]/B973)-1</f>
        <v>-3.6649214659685847E-2</v>
      </c>
    </row>
    <row r="975" spans="1:3" x14ac:dyDescent="0.25">
      <c r="A975" s="1">
        <v>45603</v>
      </c>
      <c r="B975" s="2">
        <v>3957</v>
      </c>
      <c r="C975" s="4">
        <f>(GDX_data[[#This Row],[Último]]/B974)-1</f>
        <v>2.4068322981366519E-2</v>
      </c>
    </row>
    <row r="976" spans="1:3" x14ac:dyDescent="0.25">
      <c r="A976" s="1">
        <v>45604</v>
      </c>
      <c r="B976" s="2">
        <v>3902</v>
      </c>
      <c r="C976" s="4">
        <f>(GDX_data[[#This Row],[Último]]/B975)-1</f>
        <v>-1.3899418751579518E-2</v>
      </c>
    </row>
    <row r="977" spans="1:3" x14ac:dyDescent="0.25">
      <c r="A977" s="1">
        <v>45607</v>
      </c>
      <c r="B977" s="2">
        <v>3673</v>
      </c>
      <c r="C977" s="4">
        <f>(GDX_data[[#This Row],[Último]]/B976)-1</f>
        <v>-5.8687852383393135E-2</v>
      </c>
    </row>
    <row r="978" spans="1:3" x14ac:dyDescent="0.25">
      <c r="A978" s="1">
        <v>45608</v>
      </c>
      <c r="B978" s="2">
        <v>3611</v>
      </c>
      <c r="C978" s="4">
        <f>(GDX_data[[#This Row],[Último]]/B977)-1</f>
        <v>-1.6879934658317497E-2</v>
      </c>
    </row>
    <row r="979" spans="1:3" x14ac:dyDescent="0.25">
      <c r="A979" s="1">
        <v>45609</v>
      </c>
      <c r="B979" s="2">
        <v>3556</v>
      </c>
      <c r="C979" s="4">
        <f>(GDX_data[[#This Row],[Último]]/B978)-1</f>
        <v>-1.5231237884242632E-2</v>
      </c>
    </row>
    <row r="980" spans="1:3" x14ac:dyDescent="0.25">
      <c r="A980" s="1">
        <v>45610</v>
      </c>
      <c r="B980" s="2">
        <v>3572</v>
      </c>
      <c r="C980" s="4">
        <f>(GDX_data[[#This Row],[Último]]/B979)-1</f>
        <v>4.4994375703037992E-3</v>
      </c>
    </row>
    <row r="981" spans="1:3" x14ac:dyDescent="0.25">
      <c r="A981" s="1">
        <v>45611</v>
      </c>
      <c r="B981" s="2">
        <v>3551</v>
      </c>
      <c r="C981" s="4">
        <f>(GDX_data[[#This Row],[Último]]/B980)-1</f>
        <v>-5.8790593505039235E-3</v>
      </c>
    </row>
    <row r="982" spans="1:3" x14ac:dyDescent="0.25">
      <c r="A982" s="1">
        <v>45614</v>
      </c>
      <c r="B982" s="2">
        <v>3702</v>
      </c>
      <c r="C982" s="4">
        <f>(GDX_data[[#This Row],[Último]]/B981)-1</f>
        <v>4.2523232892142993E-2</v>
      </c>
    </row>
    <row r="983" spans="1:3" x14ac:dyDescent="0.25">
      <c r="A983" s="1">
        <v>45615</v>
      </c>
      <c r="B983" s="2">
        <v>3788</v>
      </c>
      <c r="C983" s="4">
        <f>(GDX_data[[#This Row],[Último]]/B982)-1</f>
        <v>2.3230686115613075E-2</v>
      </c>
    </row>
    <row r="984" spans="1:3" x14ac:dyDescent="0.25">
      <c r="A984" s="1">
        <v>45616</v>
      </c>
      <c r="B984" s="2">
        <v>3772</v>
      </c>
      <c r="C984" s="4">
        <f>(GDX_data[[#This Row],[Último]]/B983)-1</f>
        <v>-4.2238648363251974E-3</v>
      </c>
    </row>
    <row r="985" spans="1:3" x14ac:dyDescent="0.25">
      <c r="A985" s="1">
        <v>45617</v>
      </c>
      <c r="B985" s="2">
        <v>3814</v>
      </c>
      <c r="C985" s="4">
        <f>(GDX_data[[#This Row],[Último]]/B984)-1</f>
        <v>1.1134676564156898E-2</v>
      </c>
    </row>
    <row r="986" spans="1:3" x14ac:dyDescent="0.25">
      <c r="A986" s="1">
        <v>45618</v>
      </c>
      <c r="B986" s="2">
        <v>3828</v>
      </c>
      <c r="C986" s="4">
        <f>(GDX_data[[#This Row],[Último]]/B985)-1</f>
        <v>3.6706869428422273E-3</v>
      </c>
    </row>
    <row r="987" spans="1:3" x14ac:dyDescent="0.25">
      <c r="A987" s="1">
        <v>45621</v>
      </c>
      <c r="B987" s="2">
        <v>3714</v>
      </c>
      <c r="C987" s="4">
        <f>(GDX_data[[#This Row],[Último]]/B986)-1</f>
        <v>-2.9780564263322873E-2</v>
      </c>
    </row>
    <row r="988" spans="1:3" x14ac:dyDescent="0.25">
      <c r="A988" s="1">
        <v>45622</v>
      </c>
      <c r="B988" s="2">
        <v>3729</v>
      </c>
      <c r="C988" s="4">
        <f>(GDX_data[[#This Row],[Último]]/B987)-1</f>
        <v>4.0387722132471104E-3</v>
      </c>
    </row>
    <row r="989" spans="1:3" x14ac:dyDescent="0.25">
      <c r="A989" s="1">
        <v>45623</v>
      </c>
      <c r="B989" s="2">
        <v>3745</v>
      </c>
      <c r="C989" s="4">
        <f>(GDX_data[[#This Row],[Último]]/B988)-1</f>
        <v>4.2906945561813625E-3</v>
      </c>
    </row>
    <row r="990" spans="1:3" x14ac:dyDescent="0.25">
      <c r="A990" s="1">
        <v>45625</v>
      </c>
      <c r="B990" s="2">
        <v>3766</v>
      </c>
      <c r="C990" s="4">
        <f>(GDX_data[[#This Row],[Último]]/B989)-1</f>
        <v>5.6074766355140859E-3</v>
      </c>
    </row>
    <row r="991" spans="1:3" x14ac:dyDescent="0.25">
      <c r="A991" s="1">
        <v>45628</v>
      </c>
      <c r="B991" s="2">
        <v>3683</v>
      </c>
      <c r="C991" s="4">
        <f>(GDX_data[[#This Row],[Último]]/B990)-1</f>
        <v>-2.2039298990971901E-2</v>
      </c>
    </row>
    <row r="992" spans="1:3" x14ac:dyDescent="0.25">
      <c r="A992" s="1">
        <v>45629</v>
      </c>
      <c r="B992" s="2">
        <v>3770</v>
      </c>
      <c r="C992" s="4">
        <f>(GDX_data[[#This Row],[Último]]/B991)-1</f>
        <v>2.3622047244094446E-2</v>
      </c>
    </row>
    <row r="993" spans="1:3" x14ac:dyDescent="0.25">
      <c r="A993" s="1">
        <v>45630</v>
      </c>
      <c r="B993" s="2">
        <v>3760</v>
      </c>
      <c r="C993" s="4">
        <f>(GDX_data[[#This Row],[Último]]/B992)-1</f>
        <v>-2.6525198938992522E-3</v>
      </c>
    </row>
    <row r="994" spans="1:3" x14ac:dyDescent="0.25">
      <c r="A994" s="1">
        <v>45631</v>
      </c>
      <c r="B994" s="2">
        <v>3753</v>
      </c>
      <c r="C994" s="4">
        <f>(GDX_data[[#This Row],[Último]]/B993)-1</f>
        <v>-1.8617021276595702E-3</v>
      </c>
    </row>
    <row r="995" spans="1:3" x14ac:dyDescent="0.25">
      <c r="A995" s="1">
        <v>45632</v>
      </c>
      <c r="B995" s="2">
        <v>3682</v>
      </c>
      <c r="C995" s="4">
        <f>(GDX_data[[#This Row],[Último]]/B994)-1</f>
        <v>-1.8918198774313888E-2</v>
      </c>
    </row>
    <row r="996" spans="1:3" x14ac:dyDescent="0.25">
      <c r="A996" s="1">
        <v>45635</v>
      </c>
      <c r="B996" s="2">
        <v>3791</v>
      </c>
      <c r="C996" s="4">
        <f>(GDX_data[[#This Row],[Último]]/B995)-1</f>
        <v>2.9603476371537152E-2</v>
      </c>
    </row>
    <row r="997" spans="1:3" x14ac:dyDescent="0.25">
      <c r="A997" s="1">
        <v>45636</v>
      </c>
      <c r="B997" s="2">
        <v>3798</v>
      </c>
      <c r="C997" s="4">
        <f>(GDX_data[[#This Row],[Último]]/B996)-1</f>
        <v>1.846478501714488E-3</v>
      </c>
    </row>
    <row r="998" spans="1:3" x14ac:dyDescent="0.25">
      <c r="A998" s="1">
        <v>45637</v>
      </c>
      <c r="B998" s="2">
        <v>3909</v>
      </c>
      <c r="C998" s="4">
        <f>(GDX_data[[#This Row],[Último]]/B997)-1</f>
        <v>2.9225908372827902E-2</v>
      </c>
    </row>
    <row r="999" spans="1:3" x14ac:dyDescent="0.25">
      <c r="A999" s="1">
        <v>45638</v>
      </c>
      <c r="B999" s="2">
        <v>3766</v>
      </c>
      <c r="C999" s="4">
        <f>(GDX_data[[#This Row],[Último]]/B998)-1</f>
        <v>-3.6582246098746496E-2</v>
      </c>
    </row>
    <row r="1000" spans="1:3" x14ac:dyDescent="0.25">
      <c r="A1000" s="1">
        <v>45639</v>
      </c>
      <c r="B1000" s="2">
        <v>3665</v>
      </c>
      <c r="C1000" s="4">
        <f>(GDX_data[[#This Row],[Último]]/B999)-1</f>
        <v>-2.6818906001062182E-2</v>
      </c>
    </row>
    <row r="1001" spans="1:3" x14ac:dyDescent="0.25">
      <c r="A1001" s="1">
        <v>45642</v>
      </c>
      <c r="B1001" s="2">
        <v>3642</v>
      </c>
      <c r="C1001" s="4">
        <f>(GDX_data[[#This Row],[Último]]/B1000)-1</f>
        <v>-6.2755798090040615E-3</v>
      </c>
    </row>
    <row r="1002" spans="1:3" x14ac:dyDescent="0.25">
      <c r="A1002" s="1">
        <v>45643</v>
      </c>
      <c r="B1002" s="2">
        <v>3619</v>
      </c>
      <c r="C1002" s="4">
        <f>(GDX_data[[#This Row],[Último]]/B1001)-1</f>
        <v>-6.3152114222954081E-3</v>
      </c>
    </row>
    <row r="1003" spans="1:3" x14ac:dyDescent="0.25">
      <c r="A1003" s="1">
        <v>45644</v>
      </c>
      <c r="B1003" s="2">
        <v>3453</v>
      </c>
      <c r="C1003" s="4">
        <f>(GDX_data[[#This Row],[Último]]/B1002)-1</f>
        <v>-4.5869024592428809E-2</v>
      </c>
    </row>
    <row r="1004" spans="1:3" x14ac:dyDescent="0.25">
      <c r="A1004" s="1">
        <v>45645</v>
      </c>
      <c r="B1004" s="2">
        <v>3439</v>
      </c>
      <c r="C1004" s="4">
        <f>(GDX_data[[#This Row],[Último]]/B1003)-1</f>
        <v>-4.0544454097886096E-3</v>
      </c>
    </row>
    <row r="1005" spans="1:3" x14ac:dyDescent="0.25">
      <c r="A1005" s="1">
        <v>45646</v>
      </c>
      <c r="B1005" s="2">
        <v>3473</v>
      </c>
      <c r="C1005" s="4">
        <f>(GDX_data[[#This Row],[Último]]/B1004)-1</f>
        <v>9.8865949403896813E-3</v>
      </c>
    </row>
    <row r="1006" spans="1:3" x14ac:dyDescent="0.25">
      <c r="A1006" s="1">
        <v>45649</v>
      </c>
      <c r="B1006" s="2">
        <v>3441</v>
      </c>
      <c r="C1006" s="4">
        <f>(GDX_data[[#This Row],[Último]]/B1005)-1</f>
        <v>-9.213936078318441E-3</v>
      </c>
    </row>
    <row r="1007" spans="1:3" x14ac:dyDescent="0.25">
      <c r="A1007" s="1">
        <v>45650</v>
      </c>
      <c r="B1007" s="2">
        <v>3441</v>
      </c>
      <c r="C1007" s="4">
        <f>(GDX_data[[#This Row],[Último]]/B1006)-1</f>
        <v>0</v>
      </c>
    </row>
    <row r="1008" spans="1:3" x14ac:dyDescent="0.25">
      <c r="A1008" s="1">
        <v>45652</v>
      </c>
      <c r="B1008" s="2">
        <v>3447</v>
      </c>
      <c r="C1008" s="4">
        <f>(GDX_data[[#This Row],[Último]]/B1007)-1</f>
        <v>1.7436791630340842E-3</v>
      </c>
    </row>
    <row r="1009" spans="1:3" x14ac:dyDescent="0.25">
      <c r="A1009" s="1">
        <v>45653</v>
      </c>
      <c r="B1009" s="2">
        <v>3426</v>
      </c>
      <c r="C1009" s="4">
        <f>(GDX_data[[#This Row],[Último]]/B1008)-1</f>
        <v>-6.0922541340295844E-3</v>
      </c>
    </row>
    <row r="1010" spans="1:3" x14ac:dyDescent="0.25">
      <c r="A1010" s="1">
        <v>45656</v>
      </c>
      <c r="B1010" s="2">
        <v>3377</v>
      </c>
      <c r="C1010" s="4">
        <f>(GDX_data[[#This Row],[Último]]/B1009)-1</f>
        <v>-1.4302393461762986E-2</v>
      </c>
    </row>
    <row r="1011" spans="1:3" x14ac:dyDescent="0.25">
      <c r="A1011" s="1">
        <v>45657</v>
      </c>
      <c r="B1011" s="2">
        <v>3391</v>
      </c>
      <c r="C1011" s="4">
        <f>(GDX_data[[#This Row],[Último]]/B1010)-1</f>
        <v>4.1456914421083013E-3</v>
      </c>
    </row>
    <row r="1012" spans="1:3" x14ac:dyDescent="0.25">
      <c r="A1012" s="1">
        <v>45659</v>
      </c>
      <c r="B1012" s="2">
        <v>3534</v>
      </c>
      <c r="C1012" s="4">
        <f>(GDX_data[[#This Row],[Último]]/B1011)-1</f>
        <v>4.2170451194337932E-2</v>
      </c>
    </row>
    <row r="1013" spans="1:3" x14ac:dyDescent="0.25">
      <c r="A1013" s="1">
        <v>45660</v>
      </c>
      <c r="B1013" s="2">
        <v>3500</v>
      </c>
      <c r="C1013" s="4">
        <f>(GDX_data[[#This Row],[Último]]/B1012)-1</f>
        <v>-9.6208262591963578E-3</v>
      </c>
    </row>
    <row r="1014" spans="1:3" x14ac:dyDescent="0.25">
      <c r="A1014" s="1">
        <v>45663</v>
      </c>
      <c r="B1014" s="2">
        <v>3458</v>
      </c>
      <c r="C1014" s="4">
        <f>(GDX_data[[#This Row],[Último]]/B1013)-1</f>
        <v>-1.2000000000000011E-2</v>
      </c>
    </row>
    <row r="1015" spans="1:3" x14ac:dyDescent="0.25">
      <c r="A1015" s="1">
        <v>45664</v>
      </c>
      <c r="B1015" s="2">
        <v>3505</v>
      </c>
      <c r="C1015" s="4">
        <f>(GDX_data[[#This Row],[Último]]/B1014)-1</f>
        <v>1.3591671486408385E-2</v>
      </c>
    </row>
    <row r="1016" spans="1:3" x14ac:dyDescent="0.25">
      <c r="A1016" s="1">
        <v>45665</v>
      </c>
      <c r="B1016" s="2">
        <v>3590</v>
      </c>
      <c r="C1016" s="4">
        <f>(GDX_data[[#This Row],[Último]]/B1015)-1</f>
        <v>2.4251069900142586E-2</v>
      </c>
    </row>
    <row r="1017" spans="1:3" x14ac:dyDescent="0.25">
      <c r="A1017" s="1">
        <v>45667</v>
      </c>
      <c r="B1017" s="2">
        <v>3597</v>
      </c>
      <c r="C1017" s="4">
        <f>(GDX_data[[#This Row],[Último]]/B1016)-1</f>
        <v>1.9498607242340871E-3</v>
      </c>
    </row>
    <row r="1018" spans="1:3" x14ac:dyDescent="0.25">
      <c r="A1018" s="1">
        <v>45670</v>
      </c>
      <c r="B1018" s="2">
        <v>3538</v>
      </c>
      <c r="C1018" s="4">
        <f>(GDX_data[[#This Row],[Último]]/B1017)-1</f>
        <v>-1.6402557686961305E-2</v>
      </c>
    </row>
    <row r="1019" spans="1:3" x14ac:dyDescent="0.25">
      <c r="A1019" s="1">
        <v>45671</v>
      </c>
      <c r="B1019" s="2">
        <v>3632</v>
      </c>
      <c r="C1019" s="4">
        <f>(GDX_data[[#This Row],[Último]]/B1018)-1</f>
        <v>2.6568682871678906E-2</v>
      </c>
    </row>
    <row r="1020" spans="1:3" x14ac:dyDescent="0.25">
      <c r="A1020" s="1">
        <v>45672</v>
      </c>
      <c r="B1020" s="2">
        <v>3672</v>
      </c>
      <c r="C1020" s="4">
        <f>(GDX_data[[#This Row],[Último]]/B1019)-1</f>
        <v>1.1013215859030812E-2</v>
      </c>
    </row>
    <row r="1021" spans="1:3" x14ac:dyDescent="0.25">
      <c r="A1021" s="1">
        <v>45673</v>
      </c>
      <c r="B1021" s="2">
        <v>3662</v>
      </c>
      <c r="C1021" s="4">
        <f>(GDX_data[[#This Row],[Último]]/B1020)-1</f>
        <v>-2.7233115468409119E-3</v>
      </c>
    </row>
    <row r="1022" spans="1:3" x14ac:dyDescent="0.25">
      <c r="A1022" s="1">
        <v>45674</v>
      </c>
      <c r="B1022" s="2">
        <v>3675</v>
      </c>
      <c r="C1022" s="4">
        <f>(GDX_data[[#This Row],[Último]]/B1021)-1</f>
        <v>3.5499726925176667E-3</v>
      </c>
    </row>
    <row r="1023" spans="1:3" x14ac:dyDescent="0.25">
      <c r="A1023" s="1">
        <v>45678</v>
      </c>
      <c r="B1023" s="2">
        <v>3761</v>
      </c>
      <c r="C1023" s="4">
        <f>(GDX_data[[#This Row],[Último]]/B1022)-1</f>
        <v>2.3401360544217598E-2</v>
      </c>
    </row>
    <row r="1024" spans="1:3" x14ac:dyDescent="0.25">
      <c r="A1024" s="1">
        <v>45679</v>
      </c>
      <c r="B1024" s="2">
        <v>3753</v>
      </c>
      <c r="C1024" s="4">
        <f>(GDX_data[[#This Row],[Último]]/B1023)-1</f>
        <v>-2.12709385801646E-3</v>
      </c>
    </row>
    <row r="1025" spans="1:3" x14ac:dyDescent="0.25">
      <c r="A1025" s="1">
        <v>45680</v>
      </c>
      <c r="B1025" s="2">
        <v>3750</v>
      </c>
      <c r="C1025" s="4">
        <f>(GDX_data[[#This Row],[Último]]/B1024)-1</f>
        <v>-7.9936051159068544E-4</v>
      </c>
    </row>
    <row r="1026" spans="1:3" x14ac:dyDescent="0.25">
      <c r="A1026" s="1">
        <v>45681</v>
      </c>
      <c r="B1026" s="2">
        <v>3795</v>
      </c>
      <c r="C1026" s="4">
        <f>(GDX_data[[#This Row],[Último]]/B1025)-1</f>
        <v>1.2000000000000011E-2</v>
      </c>
    </row>
    <row r="1027" spans="1:3" x14ac:dyDescent="0.25">
      <c r="A1027" s="1">
        <v>45684</v>
      </c>
      <c r="B1027" s="2">
        <v>3735</v>
      </c>
      <c r="C1027" s="4">
        <f>(GDX_data[[#This Row],[Último]]/B1026)-1</f>
        <v>-1.5810276679841917E-2</v>
      </c>
    </row>
    <row r="1028" spans="1:3" x14ac:dyDescent="0.25">
      <c r="A1028" s="1">
        <v>45685</v>
      </c>
      <c r="B1028" s="2">
        <v>3770</v>
      </c>
      <c r="C1028" s="4">
        <f>(GDX_data[[#This Row],[Último]]/B1027)-1</f>
        <v>9.3708165997321569E-3</v>
      </c>
    </row>
    <row r="1029" spans="1:3" x14ac:dyDescent="0.25">
      <c r="A1029" s="1">
        <v>45686</v>
      </c>
      <c r="B1029" s="2">
        <v>3790</v>
      </c>
      <c r="C1029" s="4">
        <f>(GDX_data[[#This Row],[Último]]/B1028)-1</f>
        <v>5.3050397877985045E-3</v>
      </c>
    </row>
    <row r="1030" spans="1:3" x14ac:dyDescent="0.25">
      <c r="A1030" s="1">
        <v>45687</v>
      </c>
      <c r="B1030" s="2">
        <v>3942</v>
      </c>
      <c r="C1030" s="4">
        <f>(GDX_data[[#This Row],[Último]]/B1029)-1</f>
        <v>4.0105540897097613E-2</v>
      </c>
    </row>
    <row r="1031" spans="1:3" x14ac:dyDescent="0.25">
      <c r="A1031" s="1">
        <v>45688</v>
      </c>
      <c r="B1031" s="2">
        <v>3896</v>
      </c>
      <c r="C1031" s="4">
        <f>(GDX_data[[#This Row],[Último]]/B1030)-1</f>
        <v>-1.1669203450025423E-2</v>
      </c>
    </row>
    <row r="1032" spans="1:3" x14ac:dyDescent="0.25">
      <c r="A1032" s="1">
        <v>45691</v>
      </c>
      <c r="B1032" s="2">
        <v>3956</v>
      </c>
      <c r="C1032" s="4">
        <f>(GDX_data[[#This Row],[Último]]/B1031)-1</f>
        <v>1.5400410677617993E-2</v>
      </c>
    </row>
    <row r="1033" spans="1:3" x14ac:dyDescent="0.25">
      <c r="A1033" s="1">
        <v>45692</v>
      </c>
      <c r="B1033" s="2">
        <v>4003</v>
      </c>
      <c r="C1033" s="4">
        <f>(GDX_data[[#This Row],[Último]]/B1032)-1</f>
        <v>1.1880687563195158E-2</v>
      </c>
    </row>
    <row r="1034" spans="1:3" x14ac:dyDescent="0.25">
      <c r="A1034" s="1">
        <v>45693</v>
      </c>
      <c r="B1034" s="2">
        <v>4104</v>
      </c>
      <c r="C1034" s="4">
        <f>(GDX_data[[#This Row],[Último]]/B1033)-1</f>
        <v>2.5231076692480592E-2</v>
      </c>
    </row>
    <row r="1035" spans="1:3" x14ac:dyDescent="0.25">
      <c r="A1035" s="1">
        <v>45694</v>
      </c>
      <c r="B1035" s="2">
        <v>4113</v>
      </c>
      <c r="C1035" s="4">
        <f>(GDX_data[[#This Row],[Último]]/B1034)-1</f>
        <v>2.1929824561404132E-3</v>
      </c>
    </row>
    <row r="1036" spans="1:3" x14ac:dyDescent="0.25">
      <c r="A1036" s="1">
        <v>45695</v>
      </c>
      <c r="B1036" s="2">
        <v>4086</v>
      </c>
      <c r="C1036" s="4">
        <f>(GDX_data[[#This Row],[Último]]/B1035)-1</f>
        <v>-6.5645514223194867E-3</v>
      </c>
    </row>
    <row r="1037" spans="1:3" x14ac:dyDescent="0.25">
      <c r="A1037" s="1">
        <v>45698</v>
      </c>
      <c r="B1037" s="2">
        <v>4196</v>
      </c>
      <c r="C1037" s="4">
        <f>(GDX_data[[#This Row],[Último]]/B1036)-1</f>
        <v>2.6921194322075293E-2</v>
      </c>
    </row>
    <row r="1038" spans="1:3" x14ac:dyDescent="0.25">
      <c r="A1038" s="1">
        <v>45699</v>
      </c>
      <c r="B1038" s="2">
        <v>4144</v>
      </c>
      <c r="C1038" s="4">
        <f>(GDX_data[[#This Row],[Último]]/B1037)-1</f>
        <v>-1.2392755004766443E-2</v>
      </c>
    </row>
    <row r="1039" spans="1:3" x14ac:dyDescent="0.25">
      <c r="A1039" s="1">
        <v>45700</v>
      </c>
      <c r="B1039" s="2">
        <v>4213</v>
      </c>
      <c r="C1039" s="4">
        <f>(GDX_data[[#This Row],[Último]]/B1038)-1</f>
        <v>1.6650579150579103E-2</v>
      </c>
    </row>
    <row r="1040" spans="1:3" x14ac:dyDescent="0.25">
      <c r="A1040" s="1">
        <v>45701</v>
      </c>
      <c r="B1040" s="2">
        <v>4251</v>
      </c>
      <c r="C1040" s="4">
        <f>(GDX_data[[#This Row],[Último]]/B1039)-1</f>
        <v>9.0197009257062533E-3</v>
      </c>
    </row>
    <row r="1041" spans="1:3" x14ac:dyDescent="0.25">
      <c r="A1041" s="1">
        <v>45702</v>
      </c>
      <c r="B1041" s="2">
        <v>4108</v>
      </c>
      <c r="C1041" s="4">
        <f>(GDX_data[[#This Row],[Último]]/B1040)-1</f>
        <v>-3.3639143730886834E-2</v>
      </c>
    </row>
    <row r="1042" spans="1:3" x14ac:dyDescent="0.25">
      <c r="A1042" s="1">
        <v>45706</v>
      </c>
      <c r="B1042" s="2">
        <v>4154</v>
      </c>
      <c r="C1042" s="4">
        <f>(GDX_data[[#This Row],[Último]]/B1041)-1</f>
        <v>1.1197663096397248E-2</v>
      </c>
    </row>
    <row r="1043" spans="1:3" x14ac:dyDescent="0.25">
      <c r="A1043" s="1">
        <v>45707</v>
      </c>
      <c r="B1043" s="2">
        <v>4154</v>
      </c>
      <c r="C1043" s="4">
        <f>(GDX_data[[#This Row],[Último]]/B1042)-1</f>
        <v>0</v>
      </c>
    </row>
    <row r="1044" spans="1:3" x14ac:dyDescent="0.25">
      <c r="A1044" s="1">
        <v>45708</v>
      </c>
      <c r="B1044" s="2">
        <v>4224</v>
      </c>
      <c r="C1044" s="4">
        <f>(GDX_data[[#This Row],[Último]]/B1043)-1</f>
        <v>1.6851227732306295E-2</v>
      </c>
    </row>
    <row r="1045" spans="1:3" x14ac:dyDescent="0.25">
      <c r="A1045" s="1">
        <v>45709</v>
      </c>
      <c r="B1045" s="2">
        <v>4080</v>
      </c>
      <c r="C1045" s="4">
        <f>(GDX_data[[#This Row],[Último]]/B1044)-1</f>
        <v>-3.4090909090909061E-2</v>
      </c>
    </row>
    <row r="1046" spans="1:3" x14ac:dyDescent="0.25">
      <c r="A1046" s="1">
        <v>45712</v>
      </c>
      <c r="B1046" s="2">
        <v>4097</v>
      </c>
      <c r="C1046" s="4">
        <f>(GDX_data[[#This Row],[Último]]/B1045)-1</f>
        <v>4.1666666666666519E-3</v>
      </c>
    </row>
    <row r="1047" spans="1:3" x14ac:dyDescent="0.25">
      <c r="A1047" s="1">
        <v>45713</v>
      </c>
      <c r="B1047" s="2">
        <v>4038</v>
      </c>
      <c r="C1047" s="4">
        <f>(GDX_data[[#This Row],[Último]]/B1046)-1</f>
        <v>-1.440078105931164E-2</v>
      </c>
    </row>
    <row r="1048" spans="1:3" x14ac:dyDescent="0.25">
      <c r="A1048" s="1">
        <v>45714</v>
      </c>
      <c r="B1048" s="2">
        <v>4086</v>
      </c>
      <c r="C1048" s="4">
        <f>(GDX_data[[#This Row],[Último]]/B1047)-1</f>
        <v>1.1887072808320909E-2</v>
      </c>
    </row>
    <row r="1049" spans="1:3" x14ac:dyDescent="0.25">
      <c r="A1049" s="1">
        <v>45715</v>
      </c>
      <c r="B1049" s="2">
        <v>3946</v>
      </c>
      <c r="C1049" s="4">
        <f>(GDX_data[[#This Row],[Último]]/B1048)-1</f>
        <v>-3.4263338228095908E-2</v>
      </c>
    </row>
    <row r="1050" spans="1:3" x14ac:dyDescent="0.25">
      <c r="A1050" s="1">
        <v>45716</v>
      </c>
      <c r="B1050" s="2">
        <v>3972</v>
      </c>
      <c r="C1050" s="4">
        <f>(GDX_data[[#This Row],[Último]]/B1049)-1</f>
        <v>6.588950836289964E-3</v>
      </c>
    </row>
    <row r="1051" spans="1:3" x14ac:dyDescent="0.25">
      <c r="A1051" s="1">
        <v>45719</v>
      </c>
      <c r="B1051" s="2">
        <v>3971</v>
      </c>
      <c r="C1051" s="4">
        <f>(GDX_data[[#This Row],[Último]]/B1050)-1</f>
        <v>-2.5176233635448853E-4</v>
      </c>
    </row>
    <row r="1052" spans="1:3" x14ac:dyDescent="0.25">
      <c r="A1052" s="1">
        <v>45720</v>
      </c>
      <c r="B1052" s="2">
        <v>4028</v>
      </c>
      <c r="C1052" s="4">
        <f>(GDX_data[[#This Row],[Último]]/B1051)-1</f>
        <v>1.4354066985645897E-2</v>
      </c>
    </row>
    <row r="1053" spans="1:3" x14ac:dyDescent="0.25">
      <c r="A1053" s="1">
        <v>45721</v>
      </c>
      <c r="B1053" s="2">
        <v>4170</v>
      </c>
      <c r="C1053" s="4">
        <f>(GDX_data[[#This Row],[Último]]/B1052)-1</f>
        <v>3.5253227408142962E-2</v>
      </c>
    </row>
    <row r="1054" spans="1:3" x14ac:dyDescent="0.25">
      <c r="A1054" s="1">
        <v>45722</v>
      </c>
      <c r="B1054" s="2">
        <v>4136</v>
      </c>
      <c r="C1054" s="4">
        <f>(GDX_data[[#This Row],[Último]]/B1053)-1</f>
        <v>-8.1534772182254578E-3</v>
      </c>
    </row>
    <row r="1055" spans="1:3" x14ac:dyDescent="0.25">
      <c r="A1055" s="1">
        <v>45723</v>
      </c>
      <c r="B1055" s="2">
        <v>4164</v>
      </c>
      <c r="C1055" s="4">
        <f>(GDX_data[[#This Row],[Último]]/B1054)-1</f>
        <v>6.7698259187620735E-3</v>
      </c>
    </row>
    <row r="1056" spans="1:3" x14ac:dyDescent="0.25">
      <c r="A1056" s="1">
        <v>45726</v>
      </c>
      <c r="B1056" s="2">
        <v>4051</v>
      </c>
      <c r="C1056" s="4">
        <f>(GDX_data[[#This Row],[Último]]/B1055)-1</f>
        <v>-2.7137367915465949E-2</v>
      </c>
    </row>
    <row r="1057" spans="1:3" x14ac:dyDescent="0.25">
      <c r="A1057" s="1">
        <v>45727</v>
      </c>
      <c r="B1057" s="2">
        <v>4184</v>
      </c>
      <c r="C1057" s="4">
        <f>(GDX_data[[#This Row],[Último]]/B1056)-1</f>
        <v>3.283139965440629E-2</v>
      </c>
    </row>
    <row r="1058" spans="1:3" x14ac:dyDescent="0.25">
      <c r="A1058" s="1">
        <v>45728</v>
      </c>
      <c r="B1058" s="2">
        <v>4190</v>
      </c>
      <c r="C1058" s="4">
        <f>(GDX_data[[#This Row],[Último]]/B1057)-1</f>
        <v>1.4340344168259911E-3</v>
      </c>
    </row>
    <row r="1059" spans="1:3" x14ac:dyDescent="0.25">
      <c r="A1059" s="1">
        <v>45729</v>
      </c>
      <c r="B1059" s="2">
        <v>4321</v>
      </c>
      <c r="C1059" s="4">
        <f>(GDX_data[[#This Row],[Último]]/B1058)-1</f>
        <v>3.1264916467780512E-2</v>
      </c>
    </row>
    <row r="1060" spans="1:3" x14ac:dyDescent="0.25">
      <c r="A1060" s="1">
        <v>45730</v>
      </c>
      <c r="B1060" s="2">
        <v>4364</v>
      </c>
      <c r="C1060" s="4">
        <f>(GDX_data[[#This Row],[Último]]/B1059)-1</f>
        <v>9.9514001388567586E-3</v>
      </c>
    </row>
    <row r="1061" spans="1:3" x14ac:dyDescent="0.25">
      <c r="A1061" s="1">
        <v>45733</v>
      </c>
      <c r="B1061" s="2">
        <v>4457</v>
      </c>
      <c r="C1061" s="4">
        <f>(GDX_data[[#This Row],[Último]]/B1060)-1</f>
        <v>2.1310724106324397E-2</v>
      </c>
    </row>
    <row r="1062" spans="1:3" x14ac:dyDescent="0.25">
      <c r="A1062" s="1">
        <v>45734</v>
      </c>
      <c r="B1062" s="2">
        <v>4485</v>
      </c>
      <c r="C1062" s="4">
        <f>(GDX_data[[#This Row],[Último]]/B1061)-1</f>
        <v>6.2822526363024433E-3</v>
      </c>
    </row>
    <row r="1063" spans="1:3" x14ac:dyDescent="0.25">
      <c r="A1063" s="1">
        <v>45735</v>
      </c>
      <c r="B1063" s="2">
        <v>4523</v>
      </c>
      <c r="C1063" s="4">
        <f>(GDX_data[[#This Row],[Último]]/B1062)-1</f>
        <v>8.4726867335562783E-3</v>
      </c>
    </row>
    <row r="1064" spans="1:3" x14ac:dyDescent="0.25">
      <c r="A1064" s="1">
        <v>45736</v>
      </c>
      <c r="B1064" s="2">
        <v>4516</v>
      </c>
      <c r="C1064" s="4">
        <f>(GDX_data[[#This Row],[Último]]/B1063)-1</f>
        <v>-1.5476453681184665E-3</v>
      </c>
    </row>
    <row r="1065" spans="1:3" x14ac:dyDescent="0.25">
      <c r="A1065" s="1">
        <v>45737</v>
      </c>
      <c r="B1065" s="2">
        <v>4450</v>
      </c>
      <c r="C1065" s="4">
        <f>(GDX_data[[#This Row],[Último]]/B1064)-1</f>
        <v>-1.4614703277236463E-2</v>
      </c>
    </row>
    <row r="1066" spans="1:3" x14ac:dyDescent="0.25">
      <c r="A1066" s="1">
        <v>45740</v>
      </c>
      <c r="B1066" s="2">
        <v>4425</v>
      </c>
      <c r="C1066" s="4">
        <f>(GDX_data[[#This Row],[Último]]/B1065)-1</f>
        <v>-5.6179775280899014E-3</v>
      </c>
    </row>
    <row r="1067" spans="1:3" x14ac:dyDescent="0.25">
      <c r="A1067" s="1">
        <v>45741</v>
      </c>
      <c r="B1067" s="2">
        <v>4502</v>
      </c>
      <c r="C1067" s="4">
        <f>(GDX_data[[#This Row],[Último]]/B1066)-1</f>
        <v>1.7401129943502847E-2</v>
      </c>
    </row>
    <row r="1068" spans="1:3" x14ac:dyDescent="0.25">
      <c r="A1068" s="1">
        <v>45742</v>
      </c>
      <c r="B1068" s="2">
        <v>4467</v>
      </c>
      <c r="C1068" s="4">
        <f>(GDX_data[[#This Row],[Último]]/B1067)-1</f>
        <v>-7.7743225233229962E-3</v>
      </c>
    </row>
    <row r="1069" spans="1:3" x14ac:dyDescent="0.25">
      <c r="A1069" s="1">
        <v>45743</v>
      </c>
      <c r="B1069" s="2">
        <v>4576</v>
      </c>
      <c r="C1069" s="4">
        <f>(GDX_data[[#This Row],[Último]]/B1068)-1</f>
        <v>2.440116409223192E-2</v>
      </c>
    </row>
    <row r="1070" spans="1:3" x14ac:dyDescent="0.25">
      <c r="A1070" s="1">
        <v>45744</v>
      </c>
      <c r="B1070" s="2">
        <v>4557</v>
      </c>
      <c r="C1070" s="4">
        <f>(GDX_data[[#This Row],[Último]]/B1069)-1</f>
        <v>-4.1520979020979176E-3</v>
      </c>
    </row>
    <row r="1071" spans="1:3" x14ac:dyDescent="0.25">
      <c r="A1071" s="1">
        <v>45747</v>
      </c>
      <c r="B1071" s="2">
        <v>4597</v>
      </c>
      <c r="C1071" s="4">
        <f>(GDX_data[[#This Row],[Último]]/B1070)-1</f>
        <v>8.7777046302393025E-3</v>
      </c>
    </row>
    <row r="1072" spans="1:3" x14ac:dyDescent="0.25">
      <c r="A1072" s="1">
        <v>45748</v>
      </c>
      <c r="B1072" s="2">
        <v>4580</v>
      </c>
      <c r="C1072" s="4">
        <f>(GDX_data[[#This Row],[Último]]/B1071)-1</f>
        <v>-3.6980639547531391E-3</v>
      </c>
    </row>
    <row r="1073" spans="1:3" x14ac:dyDescent="0.25">
      <c r="A1073" s="1">
        <v>45749</v>
      </c>
      <c r="B1073" s="2">
        <v>4576</v>
      </c>
      <c r="C1073" s="4">
        <f>(GDX_data[[#This Row],[Último]]/B1072)-1</f>
        <v>-8.7336244541480479E-4</v>
      </c>
    </row>
    <row r="1074" spans="1:3" x14ac:dyDescent="0.25">
      <c r="A1074" s="1">
        <v>45750</v>
      </c>
      <c r="B1074" s="2">
        <v>4572</v>
      </c>
      <c r="C1074" s="4">
        <f>(GDX_data[[#This Row],[Último]]/B1073)-1</f>
        <v>-8.7412587412583065E-4</v>
      </c>
    </row>
    <row r="1075" spans="1:3" x14ac:dyDescent="0.25">
      <c r="A1075" s="1">
        <v>45751</v>
      </c>
      <c r="B1075" s="2">
        <v>4168</v>
      </c>
      <c r="C1075" s="4">
        <f>(GDX_data[[#This Row],[Último]]/B1074)-1</f>
        <v>-8.8363954505686793E-2</v>
      </c>
    </row>
    <row r="1076" spans="1:3" x14ac:dyDescent="0.25">
      <c r="A1076" s="1">
        <v>45754</v>
      </c>
      <c r="B1076" s="2">
        <v>4145</v>
      </c>
      <c r="C1076" s="4">
        <f>(GDX_data[[#This Row],[Último]]/B1075)-1</f>
        <v>-5.5182341650671374E-3</v>
      </c>
    </row>
    <row r="1077" spans="1:3" x14ac:dyDescent="0.25">
      <c r="A1077" s="1">
        <v>45755</v>
      </c>
      <c r="B1077" s="2">
        <v>4150</v>
      </c>
      <c r="C1077" s="4">
        <f>(GDX_data[[#This Row],[Último]]/B1076)-1</f>
        <v>1.2062726176116367E-3</v>
      </c>
    </row>
    <row r="1078" spans="1:3" x14ac:dyDescent="0.25">
      <c r="A1078" s="1">
        <v>45756</v>
      </c>
      <c r="B1078" s="2">
        <v>4499</v>
      </c>
      <c r="C1078" s="4">
        <f>(GDX_data[[#This Row],[Último]]/B1077)-1</f>
        <v>8.4096385542168584E-2</v>
      </c>
    </row>
    <row r="1079" spans="1:3" x14ac:dyDescent="0.25">
      <c r="A1079" s="1">
        <v>45757</v>
      </c>
      <c r="B1079" s="2">
        <v>4717</v>
      </c>
      <c r="C1079" s="4">
        <f>(GDX_data[[#This Row],[Último]]/B1078)-1</f>
        <v>4.8455212269393089E-2</v>
      </c>
    </row>
    <row r="1080" spans="1:3" x14ac:dyDescent="0.25">
      <c r="A1080" s="1">
        <v>45758</v>
      </c>
      <c r="B1080" s="2">
        <v>4970</v>
      </c>
      <c r="C1080" s="4">
        <f>(GDX_data[[#This Row],[Último]]/B1079)-1</f>
        <v>5.3635785456858098E-2</v>
      </c>
    </row>
    <row r="1081" spans="1:3" x14ac:dyDescent="0.25">
      <c r="A1081" s="1">
        <v>45761</v>
      </c>
      <c r="B1081" s="2">
        <v>5002</v>
      </c>
      <c r="C1081" s="4">
        <f>(GDX_data[[#This Row],[Último]]/B1080)-1</f>
        <v>6.4386317907445534E-3</v>
      </c>
    </row>
    <row r="1082" spans="1:3" x14ac:dyDescent="0.25">
      <c r="A1082" s="1">
        <v>45762</v>
      </c>
      <c r="B1082" s="2">
        <v>5053</v>
      </c>
      <c r="C1082" s="4">
        <f>(GDX_data[[#This Row],[Último]]/B1081)-1</f>
        <v>1.0195921631347415E-2</v>
      </c>
    </row>
    <row r="1083" spans="1:3" x14ac:dyDescent="0.25">
      <c r="A1083" s="1">
        <v>45763</v>
      </c>
      <c r="B1083" s="2">
        <v>5191</v>
      </c>
      <c r="C1083" s="4">
        <f>(GDX_data[[#This Row],[Último]]/B1082)-1</f>
        <v>2.7310508608747286E-2</v>
      </c>
    </row>
    <row r="1084" spans="1:3" x14ac:dyDescent="0.25">
      <c r="A1084" s="1">
        <v>45764</v>
      </c>
      <c r="B1084" s="2">
        <v>5092</v>
      </c>
      <c r="C1084" s="4">
        <f>(GDX_data[[#This Row],[Último]]/B1083)-1</f>
        <v>-1.9071469851666301E-2</v>
      </c>
    </row>
    <row r="1085" spans="1:3" x14ac:dyDescent="0.25">
      <c r="A1085" s="1">
        <v>45768</v>
      </c>
      <c r="B1085" s="2">
        <v>5166</v>
      </c>
      <c r="C1085" s="4">
        <f>(GDX_data[[#This Row],[Último]]/B1084)-1</f>
        <v>1.453260015710911E-2</v>
      </c>
    </row>
    <row r="1086" spans="1:3" x14ac:dyDescent="0.25">
      <c r="A1086" s="1">
        <v>45769</v>
      </c>
      <c r="B1086" s="2">
        <v>5023</v>
      </c>
      <c r="C1086" s="4">
        <f>(GDX_data[[#This Row],[Último]]/B1085)-1</f>
        <v>-2.7680991095625274E-2</v>
      </c>
    </row>
    <row r="1087" spans="1:3" x14ac:dyDescent="0.25">
      <c r="A1087" s="1">
        <v>45770</v>
      </c>
      <c r="B1087" s="2">
        <v>4873</v>
      </c>
      <c r="C1087" s="4">
        <f>(GDX_data[[#This Row],[Último]]/B1086)-1</f>
        <v>-2.9862631893290859E-2</v>
      </c>
    </row>
    <row r="1088" spans="1:3" x14ac:dyDescent="0.25">
      <c r="A1088" s="1">
        <v>45771</v>
      </c>
      <c r="B1088" s="2">
        <v>4976</v>
      </c>
      <c r="C1088" s="4">
        <f>(GDX_data[[#This Row],[Último]]/B1087)-1</f>
        <v>2.1136876667350757E-2</v>
      </c>
    </row>
    <row r="1089" spans="1:3" x14ac:dyDescent="0.25">
      <c r="A1089" s="1">
        <v>45772</v>
      </c>
      <c r="B1089" s="2">
        <v>4881</v>
      </c>
      <c r="C1089" s="4">
        <f>(GDX_data[[#This Row],[Último]]/B1088)-1</f>
        <v>-1.9091639871382626E-2</v>
      </c>
    </row>
    <row r="1090" spans="1:3" x14ac:dyDescent="0.25">
      <c r="A1090" s="1">
        <v>45775</v>
      </c>
      <c r="B1090" s="2">
        <v>4943</v>
      </c>
      <c r="C1090" s="4">
        <f>(GDX_data[[#This Row],[Último]]/B1089)-1</f>
        <v>1.2702315099364814E-2</v>
      </c>
    </row>
    <row r="1091" spans="1:3" x14ac:dyDescent="0.25">
      <c r="A1091" s="1">
        <v>45776</v>
      </c>
      <c r="B1091" s="2">
        <v>4848</v>
      </c>
      <c r="C1091" s="4">
        <f>(GDX_data[[#This Row],[Último]]/B1090)-1</f>
        <v>-1.9219097713938926E-2</v>
      </c>
    </row>
    <row r="1092" spans="1:3" x14ac:dyDescent="0.25">
      <c r="A1092" s="1">
        <v>45777</v>
      </c>
      <c r="B1092" s="2">
        <v>4901</v>
      </c>
      <c r="C1092" s="4">
        <f>(GDX_data[[#This Row],[Último]]/B1091)-1</f>
        <v>1.093234323432335E-2</v>
      </c>
    </row>
    <row r="1093" spans="1:3" x14ac:dyDescent="0.25">
      <c r="A1093" s="1">
        <v>45778</v>
      </c>
      <c r="B1093" s="2">
        <v>4720</v>
      </c>
      <c r="C1093" s="4">
        <f>(GDX_data[[#This Row],[Último]]/B1092)-1</f>
        <v>-3.6931238522750487E-2</v>
      </c>
    </row>
    <row r="1094" spans="1:3" x14ac:dyDescent="0.25">
      <c r="A1094" s="1">
        <v>45779</v>
      </c>
      <c r="B1094" s="2">
        <v>4708</v>
      </c>
      <c r="C1094" s="4">
        <f>(GDX_data[[#This Row],[Último]]/B1093)-1</f>
        <v>-2.5423728813559476E-3</v>
      </c>
    </row>
    <row r="1095" spans="1:3" x14ac:dyDescent="0.25">
      <c r="A1095" s="1">
        <v>45782</v>
      </c>
      <c r="B1095" s="2">
        <v>4872</v>
      </c>
      <c r="C1095" s="4">
        <f>(GDX_data[[#This Row],[Último]]/B1094)-1</f>
        <v>3.4834324553950635E-2</v>
      </c>
    </row>
    <row r="1096" spans="1:3" x14ac:dyDescent="0.25">
      <c r="A1096" s="1">
        <v>45783</v>
      </c>
      <c r="B1096" s="2">
        <v>5079</v>
      </c>
      <c r="C1096" s="4">
        <f>(GDX_data[[#This Row],[Último]]/B1095)-1</f>
        <v>4.2487684729064057E-2</v>
      </c>
    </row>
    <row r="1097" spans="1:3" x14ac:dyDescent="0.25">
      <c r="A1097" s="1">
        <v>45784</v>
      </c>
      <c r="B1097" s="2">
        <v>4982</v>
      </c>
      <c r="C1097" s="4">
        <f>(GDX_data[[#This Row],[Último]]/B1096)-1</f>
        <v>-1.9098247686552439E-2</v>
      </c>
    </row>
    <row r="1098" spans="1:3" x14ac:dyDescent="0.25">
      <c r="A1098" s="1">
        <v>45785</v>
      </c>
      <c r="B1098" s="2">
        <v>4888</v>
      </c>
      <c r="C1098" s="4">
        <f>(GDX_data[[#This Row],[Último]]/B1097)-1</f>
        <v>-1.8867924528301883E-2</v>
      </c>
    </row>
    <row r="1099" spans="1:3" x14ac:dyDescent="0.25">
      <c r="A1099" s="1">
        <v>45786</v>
      </c>
      <c r="B1099" s="2">
        <v>5037</v>
      </c>
      <c r="C1099" s="4">
        <f>(GDX_data[[#This Row],[Último]]/B1098)-1</f>
        <v>3.0482815057283119E-2</v>
      </c>
    </row>
    <row r="1100" spans="1:3" x14ac:dyDescent="0.25">
      <c r="A1100" s="1">
        <v>45789</v>
      </c>
      <c r="B1100" s="2">
        <v>4662</v>
      </c>
      <c r="C1100" s="4">
        <f>(GDX_data[[#This Row],[Último]]/B1099)-1</f>
        <v>-7.4449076831447303E-2</v>
      </c>
    </row>
    <row r="1101" spans="1:3" x14ac:dyDescent="0.25">
      <c r="A1101" s="1">
        <v>45790</v>
      </c>
      <c r="B1101" s="2">
        <v>4654</v>
      </c>
      <c r="C1101" s="4">
        <f>(GDX_data[[#This Row],[Último]]/B1100)-1</f>
        <v>-1.7160017160017249E-3</v>
      </c>
    </row>
    <row r="1102" spans="1:3" x14ac:dyDescent="0.25">
      <c r="A1102" s="1">
        <v>45791</v>
      </c>
      <c r="B1102" s="2">
        <v>4555</v>
      </c>
      <c r="C1102" s="4">
        <f>(GDX_data[[#This Row],[Último]]/B1101)-1</f>
        <v>-2.1272024065320139E-2</v>
      </c>
    </row>
    <row r="1103" spans="1:3" x14ac:dyDescent="0.25">
      <c r="A1103" s="1">
        <v>45792</v>
      </c>
      <c r="B1103" s="2">
        <v>4649</v>
      </c>
      <c r="C1103" s="4">
        <f>(GDX_data[[#This Row],[Último]]/B1102)-1</f>
        <v>2.0636663007683964E-2</v>
      </c>
    </row>
    <row r="1104" spans="1:3" x14ac:dyDescent="0.25">
      <c r="A1104" s="1">
        <v>45793</v>
      </c>
      <c r="B1104" s="2">
        <v>4633</v>
      </c>
      <c r="C1104" s="4">
        <f>(GDX_data[[#This Row],[Último]]/B1103)-1</f>
        <v>-3.4416003441600784E-3</v>
      </c>
    </row>
    <row r="1105" spans="1:3" x14ac:dyDescent="0.25">
      <c r="A1105" s="1">
        <v>45796</v>
      </c>
      <c r="B1105" s="2">
        <v>4734</v>
      </c>
      <c r="C1105" s="4">
        <f>(GDX_data[[#This Row],[Último]]/B1104)-1</f>
        <v>2.1800129505719745E-2</v>
      </c>
    </row>
    <row r="1106" spans="1:3" x14ac:dyDescent="0.25">
      <c r="A1106" s="1">
        <v>45797</v>
      </c>
      <c r="B1106" s="2">
        <v>4881</v>
      </c>
      <c r="C1106" s="4">
        <f>(GDX_data[[#This Row],[Último]]/B1105)-1</f>
        <v>3.105196451204062E-2</v>
      </c>
    </row>
    <row r="1107" spans="1:3" x14ac:dyDescent="0.25">
      <c r="A1107" s="1">
        <v>45798</v>
      </c>
      <c r="B1107" s="2">
        <v>4944</v>
      </c>
      <c r="C1107" s="4">
        <f>(GDX_data[[#This Row],[Último]]/B1106)-1</f>
        <v>1.2907191149354569E-2</v>
      </c>
    </row>
    <row r="1108" spans="1:3" x14ac:dyDescent="0.25">
      <c r="A1108" s="1">
        <v>45799</v>
      </c>
      <c r="B1108" s="2">
        <v>4918</v>
      </c>
      <c r="C1108" s="4">
        <f>(GDX_data[[#This Row],[Último]]/B1107)-1</f>
        <v>-5.2588996763753837E-3</v>
      </c>
    </row>
    <row r="1109" spans="1:3" x14ac:dyDescent="0.25">
      <c r="A1109" s="1">
        <v>45800</v>
      </c>
      <c r="B1109" s="2">
        <v>5053</v>
      </c>
      <c r="C1109" s="4">
        <f>(GDX_data[[#This Row],[Último]]/B1108)-1</f>
        <v>2.745018300121993E-2</v>
      </c>
    </row>
    <row r="1110" spans="1:3" x14ac:dyDescent="0.25">
      <c r="A1110" s="1">
        <v>45804</v>
      </c>
      <c r="B1110" s="2">
        <v>4977</v>
      </c>
      <c r="C1110" s="4">
        <f>(GDX_data[[#This Row],[Último]]/B1109)-1</f>
        <v>-1.5040569958440497E-2</v>
      </c>
    </row>
    <row r="1111" spans="1:3" x14ac:dyDescent="0.25">
      <c r="A1111" s="1">
        <v>45805</v>
      </c>
      <c r="B1111" s="2">
        <v>5035</v>
      </c>
      <c r="C1111" s="4">
        <f>(GDX_data[[#This Row],[Último]]/B1110)-1</f>
        <v>1.1653606590315446E-2</v>
      </c>
    </row>
    <row r="1112" spans="1:3" x14ac:dyDescent="0.25">
      <c r="A1112" s="1">
        <v>45806</v>
      </c>
      <c r="B1112" s="2">
        <v>5028</v>
      </c>
      <c r="C1112" s="4">
        <f>(GDX_data[[#This Row],[Último]]/B1111)-1</f>
        <v>-1.3902681231380276E-3</v>
      </c>
    </row>
    <row r="1113" spans="1:3" x14ac:dyDescent="0.25">
      <c r="A1113" s="1">
        <v>45807</v>
      </c>
      <c r="B1113" s="2">
        <v>5065</v>
      </c>
      <c r="C1113" s="4">
        <f>(GDX_data[[#This Row],[Último]]/B1112)-1</f>
        <v>7.3587907716785583E-3</v>
      </c>
    </row>
    <row r="1114" spans="1:3" x14ac:dyDescent="0.25">
      <c r="A1114" s="1">
        <v>45810</v>
      </c>
      <c r="B1114" s="2">
        <v>5377</v>
      </c>
      <c r="C1114" s="4">
        <f>(GDX_data[[#This Row],[Último]]/B1113)-1</f>
        <v>6.1599210266535032E-2</v>
      </c>
    </row>
    <row r="1115" spans="1:3" x14ac:dyDescent="0.25">
      <c r="A1115" s="1">
        <v>45811</v>
      </c>
      <c r="B1115" s="2">
        <v>5309</v>
      </c>
      <c r="C1115" s="4">
        <f>(GDX_data[[#This Row],[Último]]/B1114)-1</f>
        <v>-1.2646457132229894E-2</v>
      </c>
    </row>
    <row r="1116" spans="1:3" x14ac:dyDescent="0.25">
      <c r="A1116" s="1">
        <v>45812</v>
      </c>
      <c r="B1116" s="2">
        <v>5321</v>
      </c>
      <c r="C1116" s="4">
        <f>(GDX_data[[#This Row],[Último]]/B1115)-1</f>
        <v>2.2603126765869952E-3</v>
      </c>
    </row>
    <row r="1117" spans="1:3" x14ac:dyDescent="0.25">
      <c r="A1117" s="1">
        <v>45813</v>
      </c>
      <c r="B1117" s="2">
        <v>5315</v>
      </c>
      <c r="C1117" s="4">
        <f>(GDX_data[[#This Row],[Último]]/B1116)-1</f>
        <v>-1.1276075925578111E-3</v>
      </c>
    </row>
    <row r="1118" spans="1:3" x14ac:dyDescent="0.25">
      <c r="A1118" s="1">
        <v>45814</v>
      </c>
      <c r="B1118" s="2">
        <v>5162</v>
      </c>
      <c r="C1118" s="4">
        <f>(GDX_data[[#This Row],[Último]]/B1117)-1</f>
        <v>-2.878645343367825E-2</v>
      </c>
    </row>
    <row r="1119" spans="1:3" x14ac:dyDescent="0.25">
      <c r="A1119" s="1">
        <v>45817</v>
      </c>
      <c r="B1119" s="2">
        <v>5213</v>
      </c>
      <c r="C1119" s="4">
        <f>(GDX_data[[#This Row],[Último]]/B1118)-1</f>
        <v>9.8798915149167499E-3</v>
      </c>
    </row>
    <row r="1120" spans="1:3" x14ac:dyDescent="0.25">
      <c r="A1120" s="1">
        <v>45818</v>
      </c>
      <c r="B1120" s="2">
        <v>5143</v>
      </c>
      <c r="C1120" s="4">
        <f>(GDX_data[[#This Row],[Último]]/B1119)-1</f>
        <v>-1.3427968540188018E-2</v>
      </c>
    </row>
    <row r="1121" spans="1:3" x14ac:dyDescent="0.25">
      <c r="A1121" s="1">
        <v>45819</v>
      </c>
      <c r="B1121" s="2">
        <v>5194</v>
      </c>
      <c r="C1121" s="4">
        <f>(GDX_data[[#This Row],[Último]]/B1120)-1</f>
        <v>9.9163912113553465E-3</v>
      </c>
    </row>
    <row r="1122" spans="1:3" x14ac:dyDescent="0.25">
      <c r="A1122" s="1">
        <v>45820</v>
      </c>
      <c r="B1122" s="2">
        <v>5353</v>
      </c>
      <c r="C1122" s="4">
        <f>(GDX_data[[#This Row],[Último]]/B1121)-1</f>
        <v>3.0612244897959107E-2</v>
      </c>
    </row>
    <row r="1123" spans="1:3" x14ac:dyDescent="0.25">
      <c r="A1123" s="1">
        <v>45821</v>
      </c>
      <c r="B1123" s="2">
        <v>5446</v>
      </c>
      <c r="C1123" s="4">
        <f>(GDX_data[[#This Row],[Último]]/B1122)-1</f>
        <v>1.7373435456753183E-2</v>
      </c>
    </row>
    <row r="1124" spans="1:3" x14ac:dyDescent="0.25">
      <c r="A1124" s="1">
        <v>45824</v>
      </c>
      <c r="B1124" s="2">
        <v>5355</v>
      </c>
      <c r="C1124" s="4">
        <f>(GDX_data[[#This Row],[Último]]/B1123)-1</f>
        <v>-1.6709511568123392E-2</v>
      </c>
    </row>
    <row r="1125" spans="1:3" x14ac:dyDescent="0.25">
      <c r="A1125" s="1">
        <v>45825</v>
      </c>
      <c r="B1125" s="2">
        <v>5351</v>
      </c>
      <c r="C1125" s="4">
        <f>(GDX_data[[#This Row],[Último]]/B1124)-1</f>
        <v>-7.4696545284780314E-4</v>
      </c>
    </row>
    <row r="1126" spans="1:3" x14ac:dyDescent="0.25">
      <c r="A1126" s="1">
        <v>45826</v>
      </c>
      <c r="B1126" s="2">
        <v>5300</v>
      </c>
      <c r="C1126" s="4">
        <f>(GDX_data[[#This Row],[Último]]/B1125)-1</f>
        <v>-9.5309287983554869E-3</v>
      </c>
    </row>
    <row r="1127" spans="1:3" x14ac:dyDescent="0.25">
      <c r="A1127" s="1">
        <v>45828</v>
      </c>
      <c r="B1127" s="2">
        <v>5229</v>
      </c>
      <c r="C1127" s="4">
        <f>(GDX_data[[#This Row],[Último]]/B1126)-1</f>
        <v>-1.3396226415094303E-2</v>
      </c>
    </row>
    <row r="1128" spans="1:3" x14ac:dyDescent="0.25">
      <c r="A1128" s="1">
        <v>45831</v>
      </c>
      <c r="B1128" s="2">
        <v>5311</v>
      </c>
      <c r="C1128" s="4">
        <f>(GDX_data[[#This Row],[Último]]/B1127)-1</f>
        <v>1.5681774717919206E-2</v>
      </c>
    </row>
    <row r="1129" spans="1:3" x14ac:dyDescent="0.25">
      <c r="A1129" s="1">
        <v>45832</v>
      </c>
      <c r="B1129" s="2">
        <v>5186</v>
      </c>
      <c r="C1129" s="4">
        <f>(GDX_data[[#This Row],[Último]]/B1128)-1</f>
        <v>-2.353605723969121E-2</v>
      </c>
    </row>
    <row r="1130" spans="1:3" x14ac:dyDescent="0.25">
      <c r="A1130" s="1">
        <v>45833</v>
      </c>
      <c r="B1130" s="2">
        <v>5192</v>
      </c>
      <c r="C1130" s="4">
        <f>(GDX_data[[#This Row],[Último]]/B1129)-1</f>
        <v>1.1569610489781113E-3</v>
      </c>
    </row>
    <row r="1131" spans="1:3" x14ac:dyDescent="0.25">
      <c r="A1131" s="1">
        <v>45834</v>
      </c>
      <c r="B1131" s="2">
        <v>5262</v>
      </c>
      <c r="C1131" s="4">
        <f>(GDX_data[[#This Row],[Último]]/B1130)-1</f>
        <v>1.3482280431432958E-2</v>
      </c>
    </row>
    <row r="1132" spans="1:3" x14ac:dyDescent="0.25">
      <c r="A1132" s="1">
        <v>45835</v>
      </c>
      <c r="B1132" s="2">
        <v>5073</v>
      </c>
      <c r="C1132" s="4">
        <f>(GDX_data[[#This Row],[Último]]/B1131)-1</f>
        <v>-3.5917901938426477E-2</v>
      </c>
    </row>
    <row r="1133" spans="1:3" x14ac:dyDescent="0.25">
      <c r="A1133" s="1">
        <v>45838</v>
      </c>
      <c r="B1133" s="2">
        <v>5206</v>
      </c>
      <c r="C1133" s="4">
        <f>(GDX_data[[#This Row],[Último]]/B1132)-1</f>
        <v>2.621722846441954E-2</v>
      </c>
    </row>
    <row r="1134" spans="1:3" x14ac:dyDescent="0.25">
      <c r="A1134" s="1">
        <v>45839</v>
      </c>
      <c r="B1134" s="2">
        <v>5204</v>
      </c>
      <c r="C1134" s="4">
        <f>(GDX_data[[#This Row],[Último]]/B1133)-1</f>
        <v>-3.8417210910490773E-4</v>
      </c>
    </row>
    <row r="1135" spans="1:3" x14ac:dyDescent="0.25">
      <c r="A1135" s="1">
        <v>45840</v>
      </c>
      <c r="B1135" s="2">
        <v>5266</v>
      </c>
      <c r="C1135" s="4">
        <f>(GDX_data[[#This Row],[Último]]/B1134)-1</f>
        <v>1.1913912375095981E-2</v>
      </c>
    </row>
    <row r="1136" spans="1:3" x14ac:dyDescent="0.25">
      <c r="A1136" s="1">
        <v>45841</v>
      </c>
      <c r="B1136" s="2">
        <v>5291</v>
      </c>
      <c r="C1136" s="4">
        <f>(GDX_data[[#This Row],[Último]]/B1135)-1</f>
        <v>4.747436384352488E-3</v>
      </c>
    </row>
    <row r="1137" spans="1:3" x14ac:dyDescent="0.25">
      <c r="A1137" s="1">
        <v>45845</v>
      </c>
      <c r="B1137" s="2">
        <v>5317</v>
      </c>
      <c r="C1137" s="4">
        <f>(GDX_data[[#This Row],[Último]]/B1136)-1</f>
        <v>4.9140049140048436E-3</v>
      </c>
    </row>
    <row r="1138" spans="1:3" x14ac:dyDescent="0.25">
      <c r="A1138" s="1">
        <v>45846</v>
      </c>
      <c r="B1138" s="2">
        <v>5079</v>
      </c>
      <c r="C1138" s="4">
        <f>(GDX_data[[#This Row],[Último]]/B1137)-1</f>
        <v>-4.4762083881888293E-2</v>
      </c>
    </row>
    <row r="1139" spans="1:3" x14ac:dyDescent="0.25">
      <c r="A1139" s="1">
        <v>45847</v>
      </c>
      <c r="B1139" s="2">
        <v>5150</v>
      </c>
      <c r="C1139" s="4">
        <f>(GDX_data[[#This Row],[Último]]/B1138)-1</f>
        <v>1.3979129749950747E-2</v>
      </c>
    </row>
    <row r="1140" spans="1:3" x14ac:dyDescent="0.25">
      <c r="A1140" s="1">
        <v>45848</v>
      </c>
      <c r="B1140" s="2">
        <v>5190</v>
      </c>
      <c r="C1140" s="4">
        <f>(GDX_data[[#This Row],[Último]]/B1139)-1</f>
        <v>7.7669902912620437E-3</v>
      </c>
    </row>
    <row r="1141" spans="1:3" x14ac:dyDescent="0.25">
      <c r="A1141" s="1">
        <v>45849</v>
      </c>
      <c r="B1141" s="2">
        <v>5242</v>
      </c>
      <c r="C1141" s="4">
        <f>(GDX_data[[#This Row],[Último]]/B1140)-1</f>
        <v>1.0019267822735989E-2</v>
      </c>
    </row>
    <row r="1142" spans="1:3" x14ac:dyDescent="0.25">
      <c r="A1142" s="1">
        <v>45852</v>
      </c>
      <c r="B1142" s="2">
        <v>5245</v>
      </c>
      <c r="C1142" s="4">
        <f>(GDX_data[[#This Row],[Último]]/B1141)-1</f>
        <v>5.7230064860736007E-4</v>
      </c>
    </row>
    <row r="1143" spans="1:3" x14ac:dyDescent="0.25">
      <c r="A1143" s="1">
        <v>45853</v>
      </c>
      <c r="B1143" s="2">
        <v>5162</v>
      </c>
      <c r="C1143" s="4">
        <f>(GDX_data[[#This Row],[Último]]/B1142)-1</f>
        <v>-1.5824594852240192E-2</v>
      </c>
    </row>
    <row r="1144" spans="1:3" x14ac:dyDescent="0.25">
      <c r="A1144" s="1">
        <v>45854</v>
      </c>
      <c r="B1144" s="2">
        <v>5182</v>
      </c>
      <c r="C1144" s="4">
        <f>(GDX_data[[#This Row],[Último]]/B1143)-1</f>
        <v>3.8744672607515795E-3</v>
      </c>
    </row>
    <row r="1145" spans="1:3" x14ac:dyDescent="0.25">
      <c r="A1145" s="1">
        <v>45855</v>
      </c>
      <c r="B1145" s="2">
        <v>5124</v>
      </c>
      <c r="C1145" s="4">
        <f>(GDX_data[[#This Row],[Último]]/B1144)-1</f>
        <v>-1.1192589733693525E-2</v>
      </c>
    </row>
    <row r="1146" spans="1:3" x14ac:dyDescent="0.25">
      <c r="A1146" s="1">
        <v>45856</v>
      </c>
      <c r="B1146" s="2">
        <v>5113</v>
      </c>
      <c r="C1146" s="4">
        <f>(GDX_data[[#This Row],[Último]]/B1145)-1</f>
        <v>-2.1467603434816018E-3</v>
      </c>
    </row>
    <row r="1147" spans="1:3" x14ac:dyDescent="0.25">
      <c r="A1147" s="1">
        <v>45859</v>
      </c>
      <c r="B1147" s="2">
        <v>5302</v>
      </c>
      <c r="C1147" s="4">
        <f>(GDX_data[[#This Row],[Último]]/B1146)-1</f>
        <v>3.6964600039115947E-2</v>
      </c>
    </row>
    <row r="1148" spans="1:3" x14ac:dyDescent="0.25">
      <c r="A1148" s="1">
        <v>45860</v>
      </c>
      <c r="B1148" s="2">
        <v>5448</v>
      </c>
      <c r="C1148" s="4">
        <f>(GDX_data[[#This Row],[Último]]/B1147)-1</f>
        <v>2.7536778574122955E-2</v>
      </c>
    </row>
    <row r="1149" spans="1:3" x14ac:dyDescent="0.25">
      <c r="A1149" s="1">
        <v>45861</v>
      </c>
      <c r="B1149" s="2">
        <v>5384</v>
      </c>
      <c r="C1149" s="4">
        <f>(GDX_data[[#This Row],[Último]]/B1148)-1</f>
        <v>-1.1747430249632873E-2</v>
      </c>
    </row>
    <row r="1150" spans="1:3" x14ac:dyDescent="0.25">
      <c r="A1150" s="1">
        <v>45862</v>
      </c>
      <c r="B1150" s="2">
        <v>5333</v>
      </c>
      <c r="C1150" s="4">
        <f>(GDX_data[[#This Row],[Último]]/B1149)-1</f>
        <v>-9.4725111441307241E-3</v>
      </c>
    </row>
    <row r="1151" spans="1:3" x14ac:dyDescent="0.25">
      <c r="A1151" s="1">
        <v>45863</v>
      </c>
      <c r="B1151" s="2">
        <v>5396</v>
      </c>
      <c r="C1151" s="4">
        <f>(GDX_data[[#This Row],[Último]]/B1150)-1</f>
        <v>1.1813238327395448E-2</v>
      </c>
    </row>
    <row r="1152" spans="1:3" x14ac:dyDescent="0.25">
      <c r="A1152" s="1">
        <v>45866</v>
      </c>
      <c r="B1152" s="2">
        <v>5259</v>
      </c>
      <c r="C1152" s="4">
        <f>(GDX_data[[#This Row],[Último]]/B1151)-1</f>
        <v>-2.5389177168272825E-2</v>
      </c>
    </row>
    <row r="1153" spans="1:3" x14ac:dyDescent="0.25">
      <c r="A1153" s="1">
        <v>45867</v>
      </c>
      <c r="B1153" s="2">
        <v>5325</v>
      </c>
      <c r="C1153" s="4">
        <f>(GDX_data[[#This Row],[Último]]/B1152)-1</f>
        <v>1.2549914432401499E-2</v>
      </c>
    </row>
    <row r="1154" spans="1:3" x14ac:dyDescent="0.25">
      <c r="A1154" s="1">
        <v>45868</v>
      </c>
      <c r="B1154" s="2">
        <v>5178</v>
      </c>
      <c r="C1154" s="4">
        <f>(GDX_data[[#This Row],[Último]]/B1153)-1</f>
        <v>-2.7605633802816887E-2</v>
      </c>
    </row>
    <row r="1155" spans="1:3" x14ac:dyDescent="0.25">
      <c r="A1155" s="1">
        <v>45869</v>
      </c>
      <c r="B1155" s="2">
        <v>5164</v>
      </c>
      <c r="C1155" s="4">
        <f>(GDX_data[[#This Row],[Último]]/B1154)-1</f>
        <v>-2.7037466203166938E-3</v>
      </c>
    </row>
    <row r="1156" spans="1:3" x14ac:dyDescent="0.25">
      <c r="A1156" s="1">
        <v>45870</v>
      </c>
      <c r="B1156" s="2">
        <v>5245</v>
      </c>
      <c r="C1156" s="4">
        <f>(GDX_data[[#This Row],[Último]]/B1155)-1</f>
        <v>1.5685515104570058E-2</v>
      </c>
    </row>
    <row r="1157" spans="1:3" x14ac:dyDescent="0.25">
      <c r="A1157" s="1">
        <v>45873</v>
      </c>
      <c r="B1157" s="2">
        <v>5494</v>
      </c>
      <c r="C1157" s="4">
        <f>(GDX_data[[#This Row],[Último]]/B1156)-1</f>
        <v>4.7473784556720577E-2</v>
      </c>
    </row>
    <row r="1158" spans="1:3" x14ac:dyDescent="0.25">
      <c r="A1158" s="1">
        <v>45874</v>
      </c>
      <c r="B1158" s="2">
        <v>5646</v>
      </c>
      <c r="C1158" s="4">
        <f>(GDX_data[[#This Row],[Último]]/B1157)-1</f>
        <v>2.7666545322169611E-2</v>
      </c>
    </row>
    <row r="1159" spans="1:3" x14ac:dyDescent="0.25">
      <c r="A1159" s="1">
        <v>45875</v>
      </c>
      <c r="B1159" s="2">
        <v>5739</v>
      </c>
      <c r="C1159" s="4">
        <f>(GDX_data[[#This Row],[Último]]/B1158)-1</f>
        <v>1.6471838469713118E-2</v>
      </c>
    </row>
    <row r="1160" spans="1:3" x14ac:dyDescent="0.25">
      <c r="A1160" s="1">
        <v>45876</v>
      </c>
      <c r="B1160" s="2">
        <v>5794</v>
      </c>
      <c r="C1160" s="4">
        <f>(GDX_data[[#This Row],[Último]]/B1159)-1</f>
        <v>9.5835511413138175E-3</v>
      </c>
    </row>
    <row r="1161" spans="1:3" x14ac:dyDescent="0.25">
      <c r="A1161" s="1">
        <v>45877</v>
      </c>
      <c r="B1161" s="2">
        <v>5806</v>
      </c>
      <c r="C1161" s="4">
        <f>(GDX_data[[#This Row],[Último]]/B1160)-1</f>
        <v>2.0711080428028605E-3</v>
      </c>
    </row>
    <row r="1162" spans="1:3" x14ac:dyDescent="0.25">
      <c r="A1162" s="1">
        <v>45880</v>
      </c>
      <c r="B1162" s="2">
        <v>5769</v>
      </c>
      <c r="C1162" s="4">
        <f>(GDX_data[[#This Row],[Último]]/B1161)-1</f>
        <v>-6.3727178780571547E-3</v>
      </c>
    </row>
    <row r="1163" spans="1:3" x14ac:dyDescent="0.25">
      <c r="A1163" s="1">
        <v>45881</v>
      </c>
      <c r="B1163" s="2">
        <v>5821</v>
      </c>
      <c r="C1163" s="4">
        <f>(GDX_data[[#This Row],[Último]]/B1162)-1</f>
        <v>9.0136938810885248E-3</v>
      </c>
    </row>
    <row r="1164" spans="1:3" x14ac:dyDescent="0.25">
      <c r="A1164" s="1">
        <v>45882</v>
      </c>
      <c r="B1164" s="2">
        <v>5807</v>
      </c>
      <c r="C1164" s="4">
        <f>(GDX_data[[#This Row],[Último]]/B1163)-1</f>
        <v>-2.4050850369352617E-3</v>
      </c>
    </row>
    <row r="1165" spans="1:3" x14ac:dyDescent="0.25">
      <c r="A1165" s="1">
        <v>45883</v>
      </c>
      <c r="B1165" s="2">
        <v>5770</v>
      </c>
      <c r="C1165" s="4">
        <f>(GDX_data[[#This Row],[Último]]/B1164)-1</f>
        <v>-6.3716204580678282E-3</v>
      </c>
    </row>
    <row r="1166" spans="1:3" x14ac:dyDescent="0.25">
      <c r="A1166" s="1">
        <v>45884</v>
      </c>
      <c r="B1166" s="2">
        <v>5828</v>
      </c>
      <c r="C1166" s="4">
        <f>(GDX_data[[#This Row],[Último]]/B1165)-1</f>
        <v>1.0051993067591081E-2</v>
      </c>
    </row>
    <row r="1167" spans="1:3" x14ac:dyDescent="0.25">
      <c r="A1167" s="1">
        <v>45887</v>
      </c>
      <c r="B1167" s="2">
        <v>5810</v>
      </c>
      <c r="C1167" s="4">
        <f>(GDX_data[[#This Row],[Último]]/B1166)-1</f>
        <v>-3.0885380919698502E-3</v>
      </c>
    </row>
    <row r="1168" spans="1:3" x14ac:dyDescent="0.25">
      <c r="A1168" s="1">
        <v>45888</v>
      </c>
      <c r="B1168" s="2">
        <v>5660</v>
      </c>
      <c r="C1168" s="4">
        <f>(GDX_data[[#This Row],[Último]]/B1167)-1</f>
        <v>-2.5817555938037917E-2</v>
      </c>
    </row>
    <row r="1169" spans="1:3" x14ac:dyDescent="0.25">
      <c r="A1169" s="1">
        <v>45889</v>
      </c>
      <c r="B1169" s="2">
        <v>5832</v>
      </c>
      <c r="C1169" s="4">
        <f>(GDX_data[[#This Row],[Último]]/B1168)-1</f>
        <v>3.0388692579505383E-2</v>
      </c>
    </row>
    <row r="1170" spans="1:3" x14ac:dyDescent="0.25">
      <c r="A1170" s="1">
        <v>45890</v>
      </c>
      <c r="B1170" s="2">
        <v>5929</v>
      </c>
      <c r="C1170" s="4">
        <f>(GDX_data[[#This Row],[Último]]/B1169)-1</f>
        <v>1.6632373113854682E-2</v>
      </c>
    </row>
    <row r="1171" spans="1:3" x14ac:dyDescent="0.25">
      <c r="A1171" s="1">
        <v>45891</v>
      </c>
      <c r="B1171" s="2">
        <v>6018</v>
      </c>
      <c r="C1171" s="4">
        <f>(GDX_data[[#This Row],[Último]]/B1170)-1</f>
        <v>1.5010963062911165E-2</v>
      </c>
    </row>
    <row r="1172" spans="1:3" x14ac:dyDescent="0.25">
      <c r="A1172" s="1">
        <v>45894</v>
      </c>
      <c r="B1172" s="2">
        <v>6026</v>
      </c>
      <c r="C1172" s="4">
        <f>(GDX_data[[#This Row],[Último]]/B1171)-1</f>
        <v>1.3293452974409981E-3</v>
      </c>
    </row>
    <row r="1173" spans="1:3" x14ac:dyDescent="0.25">
      <c r="A1173" s="1">
        <v>45895</v>
      </c>
      <c r="B1173" s="2">
        <v>6160</v>
      </c>
      <c r="C1173" s="4">
        <f>(GDX_data[[#This Row],[Último]]/B1172)-1</f>
        <v>2.2236973116495085E-2</v>
      </c>
    </row>
    <row r="1174" spans="1:3" x14ac:dyDescent="0.25">
      <c r="A1174" s="1">
        <v>45896</v>
      </c>
      <c r="B1174" s="2">
        <v>6148</v>
      </c>
      <c r="C1174" s="4">
        <f>(GDX_data[[#This Row],[Último]]/B1173)-1</f>
        <v>-1.9480519480519209E-3</v>
      </c>
    </row>
    <row r="1175" spans="1:3" x14ac:dyDescent="0.25">
      <c r="A1175" s="1">
        <v>45897</v>
      </c>
      <c r="B1175" s="2">
        <v>6133</v>
      </c>
      <c r="C1175" s="4">
        <f>(GDX_data[[#This Row],[Último]]/B1174)-1</f>
        <v>-2.4398178269355864E-3</v>
      </c>
    </row>
    <row r="1176" spans="1:3" x14ac:dyDescent="0.25">
      <c r="A1176" s="1">
        <v>45898</v>
      </c>
      <c r="B1176" s="2">
        <v>6317</v>
      </c>
      <c r="C1176" s="4">
        <f>(GDX_data[[#This Row],[Último]]/B1175)-1</f>
        <v>3.0001630523398104E-2</v>
      </c>
    </row>
    <row r="1177" spans="1:3" x14ac:dyDescent="0.25">
      <c r="A1177" s="1">
        <v>45902</v>
      </c>
      <c r="B1177" s="2">
        <v>6480</v>
      </c>
      <c r="C1177" s="4">
        <f>(GDX_data[[#This Row],[Último]]/B1176)-1</f>
        <v>2.5803387684027124E-2</v>
      </c>
    </row>
    <row r="1178" spans="1:3" x14ac:dyDescent="0.25">
      <c r="A1178" s="1">
        <v>45903</v>
      </c>
      <c r="B1178" s="2">
        <v>6520</v>
      </c>
      <c r="C1178" s="4">
        <f>(GDX_data[[#This Row],[Último]]/B1177)-1</f>
        <v>6.1728395061728669E-3</v>
      </c>
    </row>
    <row r="1179" spans="1:3" x14ac:dyDescent="0.25">
      <c r="A1179" s="1">
        <v>45904</v>
      </c>
      <c r="B1179" s="2">
        <v>6457</v>
      </c>
      <c r="C1179" s="4">
        <f>(GDX_data[[#This Row],[Último]]/B1178)-1</f>
        <v>-9.6625766871165641E-3</v>
      </c>
    </row>
    <row r="1180" spans="1:3" x14ac:dyDescent="0.25">
      <c r="A1180" s="1">
        <v>45905</v>
      </c>
      <c r="B1180" s="2">
        <v>6634</v>
      </c>
      <c r="C1180" s="4">
        <f>(GDX_data[[#This Row],[Último]]/B1179)-1</f>
        <v>2.7412110887409025E-2</v>
      </c>
    </row>
    <row r="1181" spans="1:3" x14ac:dyDescent="0.25">
      <c r="A1181" s="1">
        <v>45908</v>
      </c>
      <c r="B1181" s="2">
        <v>6724</v>
      </c>
      <c r="C1181" s="4">
        <f>(GDX_data[[#This Row],[Último]]/B1180)-1</f>
        <v>1.3566475731082273E-2</v>
      </c>
    </row>
    <row r="1182" spans="1:3" x14ac:dyDescent="0.25">
      <c r="A1182" s="1">
        <v>45909</v>
      </c>
      <c r="B1182" s="2">
        <v>6685</v>
      </c>
      <c r="C1182" s="4">
        <f>(GDX_data[[#This Row],[Último]]/B1181)-1</f>
        <v>-5.8001189767995509E-3</v>
      </c>
    </row>
    <row r="1183" spans="1:3" x14ac:dyDescent="0.25">
      <c r="A1183" s="1">
        <v>45910</v>
      </c>
      <c r="B1183" s="2">
        <v>6850</v>
      </c>
      <c r="C1183" s="4">
        <f>(GDX_data[[#This Row],[Último]]/B1182)-1</f>
        <v>2.4682124158563967E-2</v>
      </c>
    </row>
    <row r="1184" spans="1:3" x14ac:dyDescent="0.25">
      <c r="A1184" s="1">
        <v>45911</v>
      </c>
      <c r="B1184" s="2">
        <v>6976</v>
      </c>
      <c r="C1184" s="4">
        <f>(GDX_data[[#This Row],[Último]]/B1183)-1</f>
        <v>1.8394160583941499E-2</v>
      </c>
    </row>
    <row r="1185" spans="1:3" x14ac:dyDescent="0.25">
      <c r="A1185" s="1">
        <v>45912</v>
      </c>
      <c r="B1185" s="2">
        <v>6975</v>
      </c>
      <c r="C1185" s="4">
        <f>(GDX_data[[#This Row],[Último]]/B1184)-1</f>
        <v>-1.4334862385323444E-4</v>
      </c>
    </row>
    <row r="1186" spans="1:3" x14ac:dyDescent="0.25">
      <c r="A1186" s="1">
        <v>45915</v>
      </c>
      <c r="B1186" s="2">
        <v>7048</v>
      </c>
      <c r="C1186" s="4">
        <f>(GDX_data[[#This Row],[Último]]/B1185)-1</f>
        <v>1.0465949820788634E-2</v>
      </c>
    </row>
    <row r="1187" spans="1:3" x14ac:dyDescent="0.25">
      <c r="A1187" s="1">
        <v>45916</v>
      </c>
      <c r="B1187" s="2">
        <v>6902</v>
      </c>
      <c r="C1187" s="4">
        <f>(GDX_data[[#This Row],[Último]]/B1186)-1</f>
        <v>-2.0715096481271233E-2</v>
      </c>
    </row>
    <row r="1188" spans="1:3" x14ac:dyDescent="0.25">
      <c r="A1188" s="1">
        <v>45917</v>
      </c>
      <c r="B1188" s="2">
        <v>6866</v>
      </c>
      <c r="C1188" s="4">
        <f>(GDX_data[[#This Row],[Último]]/B1187)-1</f>
        <v>-5.2158794552303878E-3</v>
      </c>
    </row>
    <row r="1189" spans="1:3" x14ac:dyDescent="0.25">
      <c r="A1189" s="1">
        <v>45918</v>
      </c>
      <c r="B1189" s="2">
        <v>6879</v>
      </c>
      <c r="C1189" s="4">
        <f>(GDX_data[[#This Row],[Último]]/B1188)-1</f>
        <v>1.8933877075444361E-3</v>
      </c>
    </row>
    <row r="1190" spans="1:3" x14ac:dyDescent="0.25">
      <c r="A1190" s="1">
        <v>45919</v>
      </c>
      <c r="B1190" s="2">
        <v>7236</v>
      </c>
      <c r="C1190" s="4">
        <f>(GDX_data[[#This Row],[Último]]/B1189)-1</f>
        <v>5.1897078063672053E-2</v>
      </c>
    </row>
    <row r="1191" spans="1:3" x14ac:dyDescent="0.25">
      <c r="A1191" s="1">
        <v>45922</v>
      </c>
      <c r="B1191" s="2">
        <v>7433</v>
      </c>
      <c r="C1191" s="4">
        <f>(GDX_data[[#This Row],[Último]]/B1190)-1</f>
        <v>2.7224986180210076E-2</v>
      </c>
    </row>
    <row r="1192" spans="1:3" x14ac:dyDescent="0.25">
      <c r="A1192" s="1">
        <v>45923</v>
      </c>
      <c r="B1192" s="2">
        <v>7423</v>
      </c>
      <c r="C1192" s="4">
        <f>(GDX_data[[#This Row],[Último]]/B1191)-1</f>
        <v>-1.3453518094981298E-3</v>
      </c>
    </row>
    <row r="1193" spans="1:3" x14ac:dyDescent="0.25">
      <c r="A1193" s="1">
        <v>45924</v>
      </c>
      <c r="B1193" s="2">
        <v>7232</v>
      </c>
      <c r="C1193" s="4">
        <f>(GDX_data[[#This Row],[Último]]/B1192)-1</f>
        <v>-2.5730836588980233E-2</v>
      </c>
    </row>
    <row r="1194" spans="1:3" x14ac:dyDescent="0.25">
      <c r="A1194" s="1">
        <v>45925</v>
      </c>
      <c r="B1194" s="2">
        <v>7313</v>
      </c>
      <c r="C1194" s="4">
        <f>(GDX_data[[#This Row],[Último]]/B1193)-1</f>
        <v>1.1200221238938157E-2</v>
      </c>
    </row>
    <row r="1195" spans="1:3" x14ac:dyDescent="0.25">
      <c r="A1195" s="1">
        <v>45926</v>
      </c>
      <c r="B1195" s="2">
        <v>7468</v>
      </c>
      <c r="C1195" s="4">
        <f>(GDX_data[[#This Row],[Último]]/B1194)-1</f>
        <v>2.1195131956789348E-2</v>
      </c>
    </row>
    <row r="1196" spans="1:3" x14ac:dyDescent="0.25">
      <c r="A1196" s="1">
        <v>45929</v>
      </c>
      <c r="B1196" s="2">
        <v>7572</v>
      </c>
      <c r="C1196" s="4">
        <f>(GDX_data[[#This Row],[Último]]/B1195)-1</f>
        <v>1.3926084627745139E-2</v>
      </c>
    </row>
    <row r="1197" spans="1:3" x14ac:dyDescent="0.25">
      <c r="A1197" s="1">
        <v>45930</v>
      </c>
      <c r="B1197" s="2">
        <v>7640</v>
      </c>
      <c r="C1197" s="4">
        <f>(GDX_data[[#This Row],[Último]]/B1196)-1</f>
        <v>8.9804543053353392E-3</v>
      </c>
    </row>
    <row r="1198" spans="1:3" x14ac:dyDescent="0.25">
      <c r="A1198" s="1">
        <v>45931</v>
      </c>
      <c r="B1198" s="2">
        <v>7713</v>
      </c>
      <c r="C1198" s="4">
        <f>(GDX_data[[#This Row],[Último]]/B1197)-1</f>
        <v>9.5549738219895541E-3</v>
      </c>
    </row>
    <row r="1199" spans="1:3" x14ac:dyDescent="0.25">
      <c r="A1199" s="1">
        <v>45932</v>
      </c>
      <c r="B1199" s="2">
        <v>7710</v>
      </c>
      <c r="C1199" s="4">
        <f>(GDX_data[[#This Row],[Último]]/B1198)-1</f>
        <v>-3.88953714507978E-4</v>
      </c>
    </row>
    <row r="1200" spans="1:3" x14ac:dyDescent="0.25">
      <c r="A1200" s="1">
        <v>45933</v>
      </c>
      <c r="B1200" s="2">
        <v>7708</v>
      </c>
      <c r="C1200" s="4">
        <f>(GDX_data[[#This Row],[Último]]/B1199)-1</f>
        <v>-2.5940337224383825E-4</v>
      </c>
    </row>
    <row r="1201" spans="1:3" x14ac:dyDescent="0.25">
      <c r="A1201" s="1">
        <v>45936</v>
      </c>
      <c r="B1201" s="2">
        <v>7861</v>
      </c>
      <c r="C1201" s="4">
        <f>(GDX_data[[#This Row],[Último]]/B1200)-1</f>
        <v>1.9849507005708311E-2</v>
      </c>
    </row>
    <row r="1202" spans="1:3" x14ac:dyDescent="0.25">
      <c r="A1202" s="1">
        <v>45937</v>
      </c>
      <c r="B1202" s="2">
        <v>7697</v>
      </c>
      <c r="C1202" s="4">
        <f>(GDX_data[[#This Row],[Último]]/B1201)-1</f>
        <v>-2.0862485688843635E-2</v>
      </c>
    </row>
    <row r="1203" spans="1:3" x14ac:dyDescent="0.25">
      <c r="A1203" s="1">
        <v>45938</v>
      </c>
      <c r="B1203" s="2">
        <v>7915</v>
      </c>
      <c r="C1203" s="4">
        <f>(GDX_data[[#This Row],[Último]]/B1202)-1</f>
        <v>2.8322723138885175E-2</v>
      </c>
    </row>
    <row r="1204" spans="1:3" x14ac:dyDescent="0.25">
      <c r="A1204" s="1">
        <v>45939</v>
      </c>
      <c r="B1204" s="2">
        <v>7561</v>
      </c>
      <c r="C1204" s="4">
        <f>(GDX_data[[#This Row],[Último]]/B1203)-1</f>
        <v>-4.4725205306380245E-2</v>
      </c>
    </row>
    <row r="1205" spans="1:3" x14ac:dyDescent="0.25">
      <c r="A1205" s="1">
        <v>45940</v>
      </c>
      <c r="B1205" s="2">
        <v>7578</v>
      </c>
      <c r="C1205" s="4">
        <f>(GDX_data[[#This Row],[Último]]/B1204)-1</f>
        <v>2.2483798439358882E-3</v>
      </c>
    </row>
    <row r="1206" spans="1:3" x14ac:dyDescent="0.25">
      <c r="A1206" s="1">
        <v>45943</v>
      </c>
      <c r="B1206" s="2">
        <v>7937</v>
      </c>
      <c r="C1206" s="4">
        <f>(GDX_data[[#This Row],[Último]]/B1205)-1</f>
        <v>4.7373977302718417E-2</v>
      </c>
    </row>
    <row r="1207" spans="1:3" x14ac:dyDescent="0.25">
      <c r="A1207" s="1">
        <v>45944</v>
      </c>
      <c r="B1207" s="2">
        <v>7845</v>
      </c>
      <c r="C1207" s="4">
        <f>(GDX_data[[#This Row],[Último]]/B1206)-1</f>
        <v>-1.1591281340556869E-2</v>
      </c>
    </row>
    <row r="1208" spans="1:3" x14ac:dyDescent="0.25">
      <c r="A1208" s="1">
        <v>45945</v>
      </c>
      <c r="B1208" s="2">
        <v>8147</v>
      </c>
      <c r="C1208" s="4">
        <f>(GDX_data[[#This Row],[Último]]/B1207)-1</f>
        <v>3.8495857233906916E-2</v>
      </c>
    </row>
    <row r="1209" spans="1:3" x14ac:dyDescent="0.25">
      <c r="A1209" s="1">
        <v>45946</v>
      </c>
      <c r="B1209" s="2">
        <v>8444</v>
      </c>
      <c r="C1209" s="4">
        <f>(GDX_data[[#This Row],[Último]]/B1208)-1</f>
        <v>3.6455136860193971E-2</v>
      </c>
    </row>
    <row r="1210" spans="1:3" x14ac:dyDescent="0.25">
      <c r="A1210" s="1">
        <v>45947</v>
      </c>
      <c r="B1210" s="2">
        <v>7873</v>
      </c>
      <c r="C1210" s="4">
        <f>(GDX_data[[#This Row],[Último]]/B1209)-1</f>
        <v>-6.7621980104216051E-2</v>
      </c>
    </row>
    <row r="1211" spans="1:3" x14ac:dyDescent="0.25">
      <c r="A1211" s="1">
        <v>45950</v>
      </c>
      <c r="B1211" s="2">
        <v>8036</v>
      </c>
      <c r="C1211" s="4">
        <f>(GDX_data[[#This Row],[Último]]/B1210)-1</f>
        <v>2.0703670773529748E-2</v>
      </c>
    </row>
    <row r="1212" spans="1:3" x14ac:dyDescent="0.25">
      <c r="A1212" s="1">
        <v>45951</v>
      </c>
      <c r="B1212" s="2">
        <v>7279</v>
      </c>
      <c r="C1212" s="4">
        <f>(GDX_data[[#This Row],[Último]]/B1211)-1</f>
        <v>-9.4201095072175223E-2</v>
      </c>
    </row>
    <row r="1213" spans="1:3" x14ac:dyDescent="0.25">
      <c r="A1213" s="1">
        <v>45952</v>
      </c>
      <c r="B1213" s="2">
        <v>7295</v>
      </c>
      <c r="C1213" s="4">
        <f>(GDX_data[[#This Row],[Último]]/B1212)-1</f>
        <v>2.1981041351835096E-3</v>
      </c>
    </row>
    <row r="1214" spans="1:3" x14ac:dyDescent="0.25">
      <c r="A1214" s="1">
        <v>45953</v>
      </c>
      <c r="B1214" s="2">
        <v>7379</v>
      </c>
      <c r="C1214" s="4">
        <f>(GDX_data[[#This Row],[Último]]/B1213)-1</f>
        <v>1.1514736120630475E-2</v>
      </c>
    </row>
    <row r="1215" spans="1:3" x14ac:dyDescent="0.25">
      <c r="A1215" s="1">
        <v>45954</v>
      </c>
      <c r="B1215" s="2">
        <v>7280</v>
      </c>
      <c r="C1215" s="4">
        <f>(GDX_data[[#This Row],[Último]]/B1214)-1</f>
        <v>-1.3416452093779618E-2</v>
      </c>
    </row>
    <row r="1216" spans="1:3" x14ac:dyDescent="0.25">
      <c r="A1216" s="1">
        <v>45957</v>
      </c>
      <c r="B1216" s="2">
        <v>6991</v>
      </c>
      <c r="C1216" s="4">
        <f>(GDX_data[[#This Row],[Último]]/B1215)-1</f>
        <v>-3.9697802197802168E-2</v>
      </c>
    </row>
    <row r="1217" spans="1:3" x14ac:dyDescent="0.25">
      <c r="A1217" s="1">
        <v>45958</v>
      </c>
      <c r="B1217" s="2">
        <v>7102</v>
      </c>
      <c r="C1217" s="4">
        <f>(GDX_data[[#This Row],[Último]]/B1216)-1</f>
        <v>1.5877556858818531E-2</v>
      </c>
    </row>
    <row r="1218" spans="1:3" x14ac:dyDescent="0.25">
      <c r="A1218" s="1">
        <v>45959</v>
      </c>
      <c r="B1218" s="2">
        <v>7107</v>
      </c>
      <c r="C1218" s="4">
        <f>(GDX_data[[#This Row],[Último]]/B1217)-1</f>
        <v>7.0402703463812166E-4</v>
      </c>
    </row>
    <row r="1219" spans="1:3" x14ac:dyDescent="0.25">
      <c r="A1219" s="1">
        <v>45960</v>
      </c>
      <c r="B1219" s="2">
        <v>7290</v>
      </c>
      <c r="C1219" s="4">
        <f>(GDX_data[[#This Row],[Último]]/B1218)-1</f>
        <v>2.5749261291684311E-2</v>
      </c>
    </row>
    <row r="1220" spans="1:3" x14ac:dyDescent="0.25">
      <c r="A1220" s="1">
        <v>45961</v>
      </c>
      <c r="B1220" s="2">
        <v>7206</v>
      </c>
      <c r="C1220" s="4">
        <f>(GDX_data[[#This Row],[Último]]/B1219)-1</f>
        <v>-1.1522633744855959E-2</v>
      </c>
    </row>
    <row r="1221" spans="1:3" x14ac:dyDescent="0.25">
      <c r="A1221" s="1">
        <v>45964</v>
      </c>
      <c r="B1221" s="2">
        <v>7130</v>
      </c>
      <c r="C1221" s="4">
        <f>(GDX_data[[#This Row],[Último]]/B1220)-1</f>
        <v>-1.05467665834027E-2</v>
      </c>
    </row>
    <row r="1222" spans="1:3" x14ac:dyDescent="0.25">
      <c r="A1222" s="1">
        <v>45965</v>
      </c>
      <c r="B1222" s="2">
        <v>6828</v>
      </c>
      <c r="C1222" s="4">
        <f>(GDX_data[[#This Row],[Último]]/B1221)-1</f>
        <v>-4.2356241234221548E-2</v>
      </c>
    </row>
    <row r="1223" spans="1:3" x14ac:dyDescent="0.25">
      <c r="A1223" s="1">
        <v>45966</v>
      </c>
      <c r="B1223" s="2">
        <v>7067</v>
      </c>
      <c r="C1223" s="4">
        <f>(GDX_data[[#This Row],[Último]]/B1222)-1</f>
        <v>3.5002929115407255E-2</v>
      </c>
    </row>
    <row r="1224" spans="1:3" x14ac:dyDescent="0.25">
      <c r="A1224" s="1">
        <v>45967</v>
      </c>
      <c r="B1224" s="2">
        <v>7076</v>
      </c>
      <c r="C1224" s="4">
        <f>(GDX_data[[#This Row],[Último]]/B1223)-1</f>
        <v>1.2735248337343297E-3</v>
      </c>
    </row>
    <row r="1225" spans="1:3" x14ac:dyDescent="0.25">
      <c r="A1225" s="1">
        <v>45968</v>
      </c>
      <c r="B1225" s="2">
        <v>7255</v>
      </c>
      <c r="C1225" s="4">
        <f>(GDX_data[[#This Row],[Último]]/B1224)-1</f>
        <v>2.5296777840587925E-2</v>
      </c>
    </row>
    <row r="1226" spans="1:3" x14ac:dyDescent="0.25">
      <c r="A1226" s="1">
        <v>45971</v>
      </c>
      <c r="B1226" s="2">
        <v>7598</v>
      </c>
      <c r="C1226" s="4">
        <f>(GDX_data[[#This Row],[Último]]/B1225)-1</f>
        <v>4.7277739490006798E-2</v>
      </c>
    </row>
    <row r="1227" spans="1:3" x14ac:dyDescent="0.25">
      <c r="A1227" s="1">
        <v>45972</v>
      </c>
      <c r="B1227" s="2">
        <v>7671</v>
      </c>
      <c r="C1227" s="4">
        <f>(GDX_data[[#This Row],[Último]]/B1226)-1</f>
        <v>9.6077915240853073E-3</v>
      </c>
    </row>
    <row r="1228" spans="1:3" x14ac:dyDescent="0.25">
      <c r="A1228" s="1">
        <v>45973</v>
      </c>
      <c r="B1228" s="2">
        <v>7925</v>
      </c>
      <c r="C1228" s="4">
        <f>(GDX_data[[#This Row],[Último]]/B1227)-1</f>
        <v>3.3111719462912248E-2</v>
      </c>
    </row>
    <row r="1229" spans="1:3" x14ac:dyDescent="0.25">
      <c r="A1229" s="1">
        <v>45974</v>
      </c>
      <c r="B1229" s="2">
        <v>7705</v>
      </c>
      <c r="C1229" s="4">
        <f>(GDX_data[[#This Row],[Último]]/B1228)-1</f>
        <v>-2.7760252365930604E-2</v>
      </c>
    </row>
    <row r="1230" spans="1:3" x14ac:dyDescent="0.25">
      <c r="A1230" s="1">
        <v>45975</v>
      </c>
      <c r="B1230" s="2">
        <v>7616</v>
      </c>
      <c r="C1230" s="4">
        <f>(GDX_data[[#This Row],[Último]]/B1229)-1</f>
        <v>-1.1550940947436694E-2</v>
      </c>
    </row>
    <row r="1231" spans="1:3" x14ac:dyDescent="0.25">
      <c r="A1231" s="1">
        <v>45978</v>
      </c>
      <c r="B1231" s="2">
        <v>7495</v>
      </c>
      <c r="C1231" s="4">
        <f>(GDX_data[[#This Row],[Último]]/B1230)-1</f>
        <v>-1.5887605042016806E-2</v>
      </c>
    </row>
    <row r="1232" spans="1:3" x14ac:dyDescent="0.25">
      <c r="A1232" s="1">
        <v>45979</v>
      </c>
      <c r="B1232" s="2">
        <v>7563</v>
      </c>
      <c r="C1232" s="4">
        <f>(GDX_data[[#This Row],[Último]]/B1231)-1</f>
        <v>9.0727151434288889E-3</v>
      </c>
    </row>
    <row r="1233" spans="1:3" x14ac:dyDescent="0.25">
      <c r="A1233" s="1">
        <v>45980</v>
      </c>
      <c r="B1233" s="2">
        <v>7639</v>
      </c>
      <c r="C1233" s="4">
        <f>(GDX_data[[#This Row],[Último]]/B1232)-1</f>
        <v>1.0048922385296866E-2</v>
      </c>
    </row>
    <row r="1234" spans="1:3" x14ac:dyDescent="0.25">
      <c r="A1234" s="1">
        <v>45981</v>
      </c>
      <c r="B1234" s="2">
        <v>7297</v>
      </c>
      <c r="C1234" s="4">
        <f>(GDX_data[[#This Row],[Último]]/B1233)-1</f>
        <v>-4.4770257887158049E-2</v>
      </c>
    </row>
    <row r="1235" spans="1:3" x14ac:dyDescent="0.25">
      <c r="A1235" s="1">
        <v>45982</v>
      </c>
      <c r="B1235" s="2">
        <v>7365</v>
      </c>
      <c r="C1235" s="4">
        <f>(GDX_data[[#This Row],[Último]]/B1234)-1</f>
        <v>9.3188981773331125E-3</v>
      </c>
    </row>
    <row r="1236" spans="1:3" x14ac:dyDescent="0.25">
      <c r="A1236" s="1">
        <v>45985</v>
      </c>
      <c r="B1236" s="2">
        <v>7796</v>
      </c>
      <c r="C1236" s="4">
        <f>(GDX_data[[#This Row],[Último]]/B1235)-1</f>
        <v>5.8520027155465115E-2</v>
      </c>
    </row>
    <row r="1237" spans="1:3" x14ac:dyDescent="0.25">
      <c r="A1237" s="1">
        <v>45986</v>
      </c>
      <c r="B1237" s="2">
        <v>7780</v>
      </c>
      <c r="C1237" s="4">
        <f>(GDX_data[[#This Row],[Último]]/B1236)-1</f>
        <v>-2.0523345305284435E-3</v>
      </c>
    </row>
    <row r="1238" spans="1:3" x14ac:dyDescent="0.25">
      <c r="A1238" s="1">
        <v>45987</v>
      </c>
      <c r="B1238" s="2">
        <v>8155</v>
      </c>
      <c r="C1238" s="4">
        <f>(GDX_data[[#This Row],[Último]]/B1237)-1</f>
        <v>4.8200514138817541E-2</v>
      </c>
    </row>
    <row r="1239" spans="1:3" x14ac:dyDescent="0.25">
      <c r="A1239" s="1">
        <v>45989</v>
      </c>
      <c r="B1239" s="2">
        <v>8323</v>
      </c>
      <c r="C1239" s="4">
        <f>(GDX_data[[#This Row],[Último]]/B1238)-1</f>
        <v>2.060085836909864E-2</v>
      </c>
    </row>
    <row r="1240" spans="1:3" x14ac:dyDescent="0.25">
      <c r="A1240" s="1">
        <v>45992</v>
      </c>
      <c r="B1240" s="2">
        <v>8282</v>
      </c>
      <c r="C1240" s="4">
        <f>(GDX_data[[#This Row],[Último]]/B1239)-1</f>
        <v>-4.9261083743842304E-3</v>
      </c>
    </row>
    <row r="1241" spans="1:3" x14ac:dyDescent="0.25">
      <c r="A1241" s="1">
        <v>45993</v>
      </c>
      <c r="B1241" s="2">
        <v>8161</v>
      </c>
      <c r="C1241" s="4">
        <f>(GDX_data[[#This Row],[Último]]/B1240)-1</f>
        <v>-1.4609997585124379E-2</v>
      </c>
    </row>
    <row r="1242" spans="1:3" x14ac:dyDescent="0.25">
      <c r="A1242" s="1">
        <v>45994</v>
      </c>
      <c r="B1242" s="2">
        <v>8106</v>
      </c>
      <c r="C1242" s="4">
        <f>(GDX_data[[#This Row],[Último]]/B1241)-1</f>
        <v>-6.7393701752236357E-3</v>
      </c>
    </row>
    <row r="1243" spans="1:3" x14ac:dyDescent="0.25">
      <c r="A1243" s="1">
        <v>45995</v>
      </c>
      <c r="B1243" s="2">
        <v>8139</v>
      </c>
      <c r="C1243" s="4">
        <f>(GDX_data[[#This Row],[Último]]/B1242)-1</f>
        <v>4.0710584752035039E-3</v>
      </c>
    </row>
    <row r="1244" spans="1:3" x14ac:dyDescent="0.25">
      <c r="A1244" s="1">
        <v>45996</v>
      </c>
      <c r="B1244" s="2">
        <v>8103</v>
      </c>
      <c r="C1244" s="4">
        <f>(GDX_data[[#This Row],[Último]]/B1243)-1</f>
        <v>-4.4231478068559316E-3</v>
      </c>
    </row>
    <row r="1245" spans="1:3" x14ac:dyDescent="0.25">
      <c r="A1245" s="1">
        <v>45999</v>
      </c>
      <c r="B1245" s="2">
        <v>7916</v>
      </c>
      <c r="C1245" s="4">
        <f>(GDX_data[[#This Row],[Último]]/B1244)-1</f>
        <v>-2.3077872392940901E-2</v>
      </c>
    </row>
    <row r="1246" spans="1:3" x14ac:dyDescent="0.25">
      <c r="A1246" s="1">
        <v>46000</v>
      </c>
      <c r="B1246" s="2">
        <v>8194</v>
      </c>
      <c r="C1246" s="4">
        <f>(GDX_data[[#This Row],[Último]]/B1245)-1</f>
        <v>3.5118746841839243E-2</v>
      </c>
    </row>
    <row r="1247" spans="1:3" x14ac:dyDescent="0.25">
      <c r="A1247" s="1">
        <v>46001</v>
      </c>
      <c r="B1247" s="2">
        <v>8332</v>
      </c>
      <c r="C1247" s="4">
        <f>(GDX_data[[#This Row],[Último]]/B1246)-1</f>
        <v>1.6841591408347512E-2</v>
      </c>
    </row>
    <row r="1248" spans="1:3" x14ac:dyDescent="0.25">
      <c r="A1248" s="1">
        <v>46002</v>
      </c>
      <c r="B1248" s="2">
        <v>8626</v>
      </c>
      <c r="C1248" s="4">
        <f>(GDX_data[[#This Row],[Último]]/B1247)-1</f>
        <v>3.5285645703312607E-2</v>
      </c>
    </row>
    <row r="1249" spans="1:3" x14ac:dyDescent="0.25">
      <c r="A1249" s="1">
        <v>46003</v>
      </c>
      <c r="B1249" s="2">
        <v>8566</v>
      </c>
      <c r="C1249" s="4">
        <f>(GDX_data[[#This Row],[Último]]/B1248)-1</f>
        <v>-6.9557152793878751E-3</v>
      </c>
    </row>
    <row r="1250" spans="1:3" x14ac:dyDescent="0.25">
      <c r="A1250" s="1">
        <v>46006</v>
      </c>
      <c r="B1250" s="2">
        <v>8485</v>
      </c>
      <c r="C1250" s="4">
        <f>(GDX_data[[#This Row],[Último]]/B1249)-1</f>
        <v>-9.4559887929022146E-3</v>
      </c>
    </row>
    <row r="1251" spans="1:3" x14ac:dyDescent="0.25">
      <c r="A1251" s="1">
        <v>46007</v>
      </c>
      <c r="B1251" s="2">
        <v>8483</v>
      </c>
      <c r="C1251" s="4">
        <f>(GDX_data[[#This Row],[Último]]/B1250)-1</f>
        <v>-2.3571007660572185E-4</v>
      </c>
    </row>
    <row r="1252" spans="1:3" x14ac:dyDescent="0.25">
      <c r="A1252" s="1">
        <v>46008</v>
      </c>
      <c r="B1252" s="2">
        <v>8583</v>
      </c>
      <c r="C1252" s="4">
        <f>(GDX_data[[#This Row],[Último]]/B1251)-1</f>
        <v>1.17882824472475E-2</v>
      </c>
    </row>
    <row r="1253" spans="1:3" x14ac:dyDescent="0.25">
      <c r="A1253" s="1">
        <v>46009</v>
      </c>
      <c r="B1253" s="2">
        <v>8567</v>
      </c>
      <c r="C1253" s="4">
        <f>(GDX_data[[#This Row],[Último]]/B1252)-1</f>
        <v>-1.8641500640801389E-3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84E3-0D60-4587-AB9C-4BCCB2A3744D}">
  <sheetPr>
    <tabColor rgb="FF00B050"/>
  </sheetPr>
  <dimension ref="A1:C1248"/>
  <sheetViews>
    <sheetView topLeftCell="A1228" workbookViewId="0">
      <selection activeCell="B1240" sqref="B1240"/>
    </sheetView>
  </sheetViews>
  <sheetFormatPr baseColWidth="10" defaultRowHeight="15" x14ac:dyDescent="0.25"/>
  <cols>
    <col min="1" max="1" width="10.42578125" bestFit="1" customWidth="1"/>
    <col min="2" max="2" width="10.5703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44200</v>
      </c>
      <c r="B2" s="2">
        <v>1311</v>
      </c>
    </row>
    <row r="3" spans="1:3" x14ac:dyDescent="0.25">
      <c r="A3" s="1">
        <v>44201</v>
      </c>
      <c r="B3" s="2">
        <v>1340</v>
      </c>
      <c r="C3" s="3">
        <f>+(NVDA_data[[#This Row],[Último]]/B2)-1</f>
        <v>2.2120518688024449E-2</v>
      </c>
    </row>
    <row r="4" spans="1:3" x14ac:dyDescent="0.25">
      <c r="A4" s="1">
        <v>44202</v>
      </c>
      <c r="B4" s="2">
        <v>1261</v>
      </c>
      <c r="C4" s="3">
        <f>+(NVDA_data[[#This Row],[Último]]/B3)-1</f>
        <v>-5.8955223880597041E-2</v>
      </c>
    </row>
    <row r="5" spans="1:3" x14ac:dyDescent="0.25">
      <c r="A5" s="1">
        <v>44203</v>
      </c>
      <c r="B5" s="2">
        <v>1334</v>
      </c>
      <c r="C5" s="3">
        <f>+(NVDA_data[[#This Row],[Último]]/B4)-1</f>
        <v>5.7890563045202237E-2</v>
      </c>
    </row>
    <row r="6" spans="1:3" x14ac:dyDescent="0.25">
      <c r="A6" s="1">
        <v>44204</v>
      </c>
      <c r="B6" s="2">
        <v>1328</v>
      </c>
      <c r="C6" s="3">
        <f>+(NVDA_data[[#This Row],[Último]]/B5)-1</f>
        <v>-4.4977511244377322E-3</v>
      </c>
    </row>
    <row r="7" spans="1:3" x14ac:dyDescent="0.25">
      <c r="A7" s="1">
        <v>44207</v>
      </c>
      <c r="B7" s="2">
        <v>1362</v>
      </c>
      <c r="C7" s="3">
        <f>+(NVDA_data[[#This Row],[Último]]/B6)-1</f>
        <v>2.5602409638554313E-2</v>
      </c>
    </row>
    <row r="8" spans="1:3" x14ac:dyDescent="0.25">
      <c r="A8" s="1">
        <v>44208</v>
      </c>
      <c r="B8" s="2">
        <v>1348</v>
      </c>
      <c r="C8" s="3">
        <f>+(NVDA_data[[#This Row],[Último]]/B7)-1</f>
        <v>-1.027900146842875E-2</v>
      </c>
    </row>
    <row r="9" spans="1:3" x14ac:dyDescent="0.25">
      <c r="A9" s="1">
        <v>44209</v>
      </c>
      <c r="B9" s="2">
        <v>1353</v>
      </c>
      <c r="C9" s="3">
        <f>+(NVDA_data[[#This Row],[Último]]/B8)-1</f>
        <v>3.7091988130564246E-3</v>
      </c>
    </row>
    <row r="10" spans="1:3" x14ac:dyDescent="0.25">
      <c r="A10" s="1">
        <v>44210</v>
      </c>
      <c r="B10" s="2">
        <v>1320</v>
      </c>
      <c r="C10" s="3">
        <f>+(NVDA_data[[#This Row],[Último]]/B9)-1</f>
        <v>-2.4390243902439046E-2</v>
      </c>
    </row>
    <row r="11" spans="1:3" x14ac:dyDescent="0.25">
      <c r="A11" s="1">
        <v>44211</v>
      </c>
      <c r="B11" s="2">
        <v>1286</v>
      </c>
      <c r="C11" s="3">
        <f>+(NVDA_data[[#This Row],[Último]]/B10)-1</f>
        <v>-2.5757575757575757E-2</v>
      </c>
    </row>
    <row r="12" spans="1:3" x14ac:dyDescent="0.25">
      <c r="A12" s="1">
        <v>44215</v>
      </c>
      <c r="B12" s="2">
        <v>1303</v>
      </c>
      <c r="C12" s="3">
        <f>+(NVDA_data[[#This Row],[Último]]/B11)-1</f>
        <v>1.3219284603421366E-2</v>
      </c>
    </row>
    <row r="13" spans="1:3" x14ac:dyDescent="0.25">
      <c r="A13" s="1">
        <v>44216</v>
      </c>
      <c r="B13" s="2">
        <v>1337</v>
      </c>
      <c r="C13" s="3">
        <f>+(NVDA_data[[#This Row],[Último]]/B12)-1</f>
        <v>2.609363008442056E-2</v>
      </c>
    </row>
    <row r="14" spans="1:3" x14ac:dyDescent="0.25">
      <c r="A14" s="1">
        <v>44217</v>
      </c>
      <c r="B14" s="2">
        <v>1387</v>
      </c>
      <c r="C14" s="3">
        <f>+(NVDA_data[[#This Row],[Último]]/B13)-1</f>
        <v>3.7397157816005944E-2</v>
      </c>
    </row>
    <row r="15" spans="1:3" x14ac:dyDescent="0.25">
      <c r="A15" s="1">
        <v>44218</v>
      </c>
      <c r="B15" s="2">
        <v>1371</v>
      </c>
      <c r="C15" s="3">
        <f>+(NVDA_data[[#This Row],[Último]]/B14)-1</f>
        <v>-1.1535688536409516E-2</v>
      </c>
    </row>
    <row r="16" spans="1:3" x14ac:dyDescent="0.25">
      <c r="A16" s="1">
        <v>44221</v>
      </c>
      <c r="B16" s="2">
        <v>1365</v>
      </c>
      <c r="C16" s="3">
        <f>+(NVDA_data[[#This Row],[Último]]/B15)-1</f>
        <v>-4.3763676148796948E-3</v>
      </c>
    </row>
    <row r="17" spans="1:3" x14ac:dyDescent="0.25">
      <c r="A17" s="1">
        <v>44222</v>
      </c>
      <c r="B17" s="2">
        <v>1344</v>
      </c>
      <c r="C17" s="3">
        <f>+(NVDA_data[[#This Row],[Último]]/B16)-1</f>
        <v>-1.538461538461533E-2</v>
      </c>
    </row>
    <row r="18" spans="1:3" x14ac:dyDescent="0.25">
      <c r="A18" s="1">
        <v>44223</v>
      </c>
      <c r="B18" s="2">
        <v>1292</v>
      </c>
      <c r="C18" s="3">
        <f>+(NVDA_data[[#This Row],[Último]]/B17)-1</f>
        <v>-3.8690476190476164E-2</v>
      </c>
    </row>
    <row r="19" spans="1:3" x14ac:dyDescent="0.25">
      <c r="A19" s="1">
        <v>44224</v>
      </c>
      <c r="B19" s="2">
        <v>1305</v>
      </c>
      <c r="C19" s="3">
        <f>+(NVDA_data[[#This Row],[Último]]/B18)-1</f>
        <v>1.0061919504643857E-2</v>
      </c>
    </row>
    <row r="20" spans="1:3" x14ac:dyDescent="0.25">
      <c r="A20" s="1">
        <v>44225</v>
      </c>
      <c r="B20" s="2">
        <v>1299</v>
      </c>
      <c r="C20" s="3">
        <f>+(NVDA_data[[#This Row],[Último]]/B19)-1</f>
        <v>-4.5977011494252595E-3</v>
      </c>
    </row>
    <row r="21" spans="1:3" x14ac:dyDescent="0.25">
      <c r="A21" s="1">
        <v>44228</v>
      </c>
      <c r="B21" s="2">
        <v>1324</v>
      </c>
      <c r="C21" s="3">
        <f>+(NVDA_data[[#This Row],[Último]]/B20)-1</f>
        <v>1.9245573518090753E-2</v>
      </c>
    </row>
    <row r="22" spans="1:3" x14ac:dyDescent="0.25">
      <c r="A22" s="1">
        <v>44229</v>
      </c>
      <c r="B22" s="2">
        <v>1356</v>
      </c>
      <c r="C22" s="3">
        <f>+(NVDA_data[[#This Row],[Último]]/B21)-1</f>
        <v>2.4169184290030232E-2</v>
      </c>
    </row>
    <row r="23" spans="1:3" x14ac:dyDescent="0.25">
      <c r="A23" s="1">
        <v>44230</v>
      </c>
      <c r="B23" s="2">
        <v>1353</v>
      </c>
      <c r="C23" s="3">
        <f>+(NVDA_data[[#This Row],[Último]]/B22)-1</f>
        <v>-2.2123893805309214E-3</v>
      </c>
    </row>
    <row r="24" spans="1:3" x14ac:dyDescent="0.25">
      <c r="A24" s="1">
        <v>44231</v>
      </c>
      <c r="B24" s="2">
        <v>1366</v>
      </c>
      <c r="C24" s="3">
        <f>+(NVDA_data[[#This Row],[Último]]/B23)-1</f>
        <v>9.6082779009607489E-3</v>
      </c>
    </row>
    <row r="25" spans="1:3" x14ac:dyDescent="0.25">
      <c r="A25" s="1">
        <v>44232</v>
      </c>
      <c r="B25" s="2">
        <v>1359</v>
      </c>
      <c r="C25" s="3">
        <f>+(NVDA_data[[#This Row],[Último]]/B24)-1</f>
        <v>-5.1244509516837899E-3</v>
      </c>
    </row>
    <row r="26" spans="1:3" x14ac:dyDescent="0.25">
      <c r="A26" s="1">
        <v>44235</v>
      </c>
      <c r="B26" s="2">
        <v>1444</v>
      </c>
      <c r="C26" s="3">
        <f>+(NVDA_data[[#This Row],[Último]]/B25)-1</f>
        <v>6.2545989698307602E-2</v>
      </c>
    </row>
    <row r="27" spans="1:3" x14ac:dyDescent="0.25">
      <c r="A27" s="1">
        <v>44236</v>
      </c>
      <c r="B27" s="2">
        <v>1426</v>
      </c>
      <c r="C27" s="3">
        <f>+(NVDA_data[[#This Row],[Último]]/B26)-1</f>
        <v>-1.2465373961218829E-2</v>
      </c>
    </row>
    <row r="28" spans="1:3" x14ac:dyDescent="0.25">
      <c r="A28" s="1">
        <v>44237</v>
      </c>
      <c r="B28" s="2">
        <v>1476</v>
      </c>
      <c r="C28" s="3">
        <f>+(NVDA_data[[#This Row],[Último]]/B27)-1</f>
        <v>3.5063113604488105E-2</v>
      </c>
    </row>
    <row r="29" spans="1:3" x14ac:dyDescent="0.25">
      <c r="A29" s="1">
        <v>44238</v>
      </c>
      <c r="B29" s="2">
        <v>1525</v>
      </c>
      <c r="C29" s="3">
        <f>+(NVDA_data[[#This Row],[Último]]/B28)-1</f>
        <v>3.3197831978319714E-2</v>
      </c>
    </row>
    <row r="30" spans="1:3" x14ac:dyDescent="0.25">
      <c r="A30" s="1">
        <v>44239</v>
      </c>
      <c r="B30" s="2">
        <v>1496</v>
      </c>
      <c r="C30" s="3">
        <f>+(NVDA_data[[#This Row],[Último]]/B29)-1</f>
        <v>-1.9016393442622959E-2</v>
      </c>
    </row>
    <row r="31" spans="1:3" x14ac:dyDescent="0.25">
      <c r="A31" s="1">
        <v>44243</v>
      </c>
      <c r="B31" s="2">
        <v>1533</v>
      </c>
      <c r="C31" s="3">
        <f>+(NVDA_data[[#This Row],[Último]]/B30)-1</f>
        <v>2.4732620320855547E-2</v>
      </c>
    </row>
    <row r="32" spans="1:3" x14ac:dyDescent="0.25">
      <c r="A32" s="1">
        <v>44244</v>
      </c>
      <c r="B32" s="2">
        <v>1491</v>
      </c>
      <c r="C32" s="3">
        <f>+(NVDA_data[[#This Row],[Último]]/B31)-1</f>
        <v>-2.7397260273972601E-2</v>
      </c>
    </row>
    <row r="33" spans="1:3" x14ac:dyDescent="0.25">
      <c r="A33" s="1">
        <v>44245</v>
      </c>
      <c r="B33" s="2">
        <v>1483</v>
      </c>
      <c r="C33" s="3">
        <f>+(NVDA_data[[#This Row],[Último]]/B32)-1</f>
        <v>-5.3655264922870538E-3</v>
      </c>
    </row>
    <row r="34" spans="1:3" x14ac:dyDescent="0.25">
      <c r="A34" s="1">
        <v>44246</v>
      </c>
      <c r="B34" s="2">
        <v>1493</v>
      </c>
      <c r="C34" s="3">
        <f>+(NVDA_data[[#This Row],[Último]]/B33)-1</f>
        <v>6.7430883344572479E-3</v>
      </c>
    </row>
    <row r="35" spans="1:3" x14ac:dyDescent="0.25">
      <c r="A35" s="1">
        <v>44249</v>
      </c>
      <c r="B35" s="2">
        <v>1436</v>
      </c>
      <c r="C35" s="3">
        <f>+(NVDA_data[[#This Row],[Último]]/B34)-1</f>
        <v>-3.8178164768921663E-2</v>
      </c>
    </row>
    <row r="36" spans="1:3" x14ac:dyDescent="0.25">
      <c r="A36" s="1">
        <v>44250</v>
      </c>
      <c r="B36" s="2">
        <v>1414</v>
      </c>
      <c r="C36" s="3">
        <f>+(NVDA_data[[#This Row],[Último]]/B35)-1</f>
        <v>-1.5320334261838431E-2</v>
      </c>
    </row>
    <row r="37" spans="1:3" x14ac:dyDescent="0.25">
      <c r="A37" s="1">
        <v>44251</v>
      </c>
      <c r="B37" s="2">
        <v>1450</v>
      </c>
      <c r="C37" s="3">
        <f>+(NVDA_data[[#This Row],[Último]]/B36)-1</f>
        <v>2.5459688826025451E-2</v>
      </c>
    </row>
    <row r="38" spans="1:3" x14ac:dyDescent="0.25">
      <c r="A38" s="1">
        <v>44252</v>
      </c>
      <c r="B38" s="2">
        <v>1331</v>
      </c>
      <c r="C38" s="3">
        <f>+(NVDA_data[[#This Row],[Último]]/B37)-1</f>
        <v>-8.206896551724141E-2</v>
      </c>
    </row>
    <row r="39" spans="1:3" x14ac:dyDescent="0.25">
      <c r="A39" s="1">
        <v>44253</v>
      </c>
      <c r="B39" s="2">
        <v>1371</v>
      </c>
      <c r="C39" s="3">
        <f>+(NVDA_data[[#This Row],[Último]]/B38)-1</f>
        <v>3.0052592036063031E-2</v>
      </c>
    </row>
    <row r="40" spans="1:3" x14ac:dyDescent="0.25">
      <c r="A40" s="1">
        <v>44256</v>
      </c>
      <c r="B40" s="2">
        <v>1384</v>
      </c>
      <c r="C40" s="3">
        <f>+(NVDA_data[[#This Row],[Último]]/B39)-1</f>
        <v>9.4821298322391723E-3</v>
      </c>
    </row>
    <row r="41" spans="1:3" x14ac:dyDescent="0.25">
      <c r="A41" s="1">
        <v>44257</v>
      </c>
      <c r="B41" s="2">
        <v>1341</v>
      </c>
      <c r="C41" s="3">
        <f>+(NVDA_data[[#This Row],[Último]]/B40)-1</f>
        <v>-3.1069364161849689E-2</v>
      </c>
    </row>
    <row r="42" spans="1:3" x14ac:dyDescent="0.25">
      <c r="A42" s="1">
        <v>44258</v>
      </c>
      <c r="B42" s="2">
        <v>1280</v>
      </c>
      <c r="C42" s="3">
        <f>+(NVDA_data[[#This Row],[Último]]/B41)-1</f>
        <v>-4.5488441461595808E-2</v>
      </c>
    </row>
    <row r="43" spans="1:3" x14ac:dyDescent="0.25">
      <c r="A43" s="1">
        <v>44259</v>
      </c>
      <c r="B43" s="2">
        <v>1237</v>
      </c>
      <c r="C43" s="3">
        <f>+(NVDA_data[[#This Row],[Último]]/B42)-1</f>
        <v>-3.3593749999999978E-2</v>
      </c>
    </row>
    <row r="44" spans="1:3" x14ac:dyDescent="0.25">
      <c r="A44" s="1">
        <v>44260</v>
      </c>
      <c r="B44" s="2">
        <v>1246</v>
      </c>
      <c r="C44" s="3">
        <f>+(NVDA_data[[#This Row],[Último]]/B43)-1</f>
        <v>7.275666936135794E-3</v>
      </c>
    </row>
    <row r="45" spans="1:3" x14ac:dyDescent="0.25">
      <c r="A45" s="1">
        <v>44263</v>
      </c>
      <c r="B45" s="2">
        <v>1159</v>
      </c>
      <c r="C45" s="3">
        <f>+(NVDA_data[[#This Row],[Último]]/B44)-1</f>
        <v>-6.9823434991974298E-2</v>
      </c>
    </row>
    <row r="46" spans="1:3" x14ac:dyDescent="0.25">
      <c r="A46" s="1">
        <v>44264</v>
      </c>
      <c r="B46" s="2">
        <v>1252</v>
      </c>
      <c r="C46" s="3">
        <f>+(NVDA_data[[#This Row],[Último]]/B45)-1</f>
        <v>8.0241587575496043E-2</v>
      </c>
    </row>
    <row r="47" spans="1:3" x14ac:dyDescent="0.25">
      <c r="A47" s="1">
        <v>44265</v>
      </c>
      <c r="B47" s="2">
        <v>1247</v>
      </c>
      <c r="C47" s="3">
        <f>+(NVDA_data[[#This Row],[Último]]/B46)-1</f>
        <v>-3.9936102236421966E-3</v>
      </c>
    </row>
    <row r="48" spans="1:3" x14ac:dyDescent="0.25">
      <c r="A48" s="1">
        <v>44266</v>
      </c>
      <c r="B48" s="2">
        <v>1299</v>
      </c>
      <c r="C48" s="3">
        <f>+(NVDA_data[[#This Row],[Último]]/B47)-1</f>
        <v>4.1700080192461852E-2</v>
      </c>
    </row>
    <row r="49" spans="1:3" x14ac:dyDescent="0.25">
      <c r="A49" s="1">
        <v>44267</v>
      </c>
      <c r="B49" s="2">
        <v>1286</v>
      </c>
      <c r="C49" s="3">
        <f>+(NVDA_data[[#This Row],[Último]]/B48)-1</f>
        <v>-1.000769822940728E-2</v>
      </c>
    </row>
    <row r="50" spans="1:3" x14ac:dyDescent="0.25">
      <c r="A50" s="1">
        <v>44270</v>
      </c>
      <c r="B50" s="2">
        <v>1319</v>
      </c>
      <c r="C50" s="3">
        <f>+(NVDA_data[[#This Row],[Último]]/B49)-1</f>
        <v>2.5660964230171057E-2</v>
      </c>
    </row>
    <row r="51" spans="1:3" x14ac:dyDescent="0.25">
      <c r="A51" s="1">
        <v>44271</v>
      </c>
      <c r="B51" s="2">
        <v>1329</v>
      </c>
      <c r="C51" s="3">
        <f>+(NVDA_data[[#This Row],[Último]]/B50)-1</f>
        <v>7.5815011372251107E-3</v>
      </c>
    </row>
    <row r="52" spans="1:3" x14ac:dyDescent="0.25">
      <c r="A52" s="1">
        <v>44272</v>
      </c>
      <c r="B52" s="2">
        <v>1334</v>
      </c>
      <c r="C52" s="3">
        <f>+(NVDA_data[[#This Row],[Último]]/B51)-1</f>
        <v>3.762227238525151E-3</v>
      </c>
    </row>
    <row r="53" spans="1:3" x14ac:dyDescent="0.25">
      <c r="A53" s="1">
        <v>44273</v>
      </c>
      <c r="B53" s="2">
        <v>1272</v>
      </c>
      <c r="C53" s="3">
        <f>+(NVDA_data[[#This Row],[Último]]/B52)-1</f>
        <v>-4.6476761619190454E-2</v>
      </c>
    </row>
    <row r="54" spans="1:3" x14ac:dyDescent="0.25">
      <c r="A54" s="1">
        <v>44274</v>
      </c>
      <c r="B54" s="2">
        <v>1285</v>
      </c>
      <c r="C54" s="3">
        <f>+(NVDA_data[[#This Row],[Último]]/B53)-1</f>
        <v>1.0220125786163603E-2</v>
      </c>
    </row>
    <row r="55" spans="1:3" x14ac:dyDescent="0.25">
      <c r="A55" s="1">
        <v>44277</v>
      </c>
      <c r="B55" s="2">
        <v>1319</v>
      </c>
      <c r="C55" s="3">
        <f>+(NVDA_data[[#This Row],[Último]]/B54)-1</f>
        <v>2.6459143968871501E-2</v>
      </c>
    </row>
    <row r="56" spans="1:3" x14ac:dyDescent="0.25">
      <c r="A56" s="1">
        <v>44278</v>
      </c>
      <c r="B56" s="2">
        <v>1307</v>
      </c>
      <c r="C56" s="3">
        <f>+(NVDA_data[[#This Row],[Último]]/B55)-1</f>
        <v>-9.0978013646701994E-3</v>
      </c>
    </row>
    <row r="57" spans="1:3" x14ac:dyDescent="0.25">
      <c r="A57" s="1">
        <v>44279</v>
      </c>
      <c r="B57" s="2">
        <v>1264</v>
      </c>
      <c r="C57" s="3">
        <f>+(NVDA_data[[#This Row],[Último]]/B56)-1</f>
        <v>-3.2899770466717659E-2</v>
      </c>
    </row>
    <row r="58" spans="1:3" x14ac:dyDescent="0.25">
      <c r="A58" s="1">
        <v>44280</v>
      </c>
      <c r="B58" s="2">
        <v>1254</v>
      </c>
      <c r="C58" s="3">
        <f>+(NVDA_data[[#This Row],[Último]]/B57)-1</f>
        <v>-7.9113924050633333E-3</v>
      </c>
    </row>
    <row r="59" spans="1:3" x14ac:dyDescent="0.25">
      <c r="A59" s="1">
        <v>44281</v>
      </c>
      <c r="B59" s="2">
        <v>1284</v>
      </c>
      <c r="C59" s="3">
        <f>+(NVDA_data[[#This Row],[Último]]/B58)-1</f>
        <v>2.3923444976076569E-2</v>
      </c>
    </row>
    <row r="60" spans="1:3" x14ac:dyDescent="0.25">
      <c r="A60" s="1">
        <v>44284</v>
      </c>
      <c r="B60" s="2">
        <v>1295</v>
      </c>
      <c r="C60" s="3">
        <f>+(NVDA_data[[#This Row],[Último]]/B59)-1</f>
        <v>8.5669781931463351E-3</v>
      </c>
    </row>
    <row r="61" spans="1:3" x14ac:dyDescent="0.25">
      <c r="A61" s="1">
        <v>44285</v>
      </c>
      <c r="B61" s="2">
        <v>1287</v>
      </c>
      <c r="C61" s="3">
        <f>+(NVDA_data[[#This Row],[Último]]/B60)-1</f>
        <v>-6.1776061776062097E-3</v>
      </c>
    </row>
    <row r="62" spans="1:3" x14ac:dyDescent="0.25">
      <c r="A62" s="1">
        <v>44286</v>
      </c>
      <c r="B62" s="2">
        <v>1335</v>
      </c>
      <c r="C62" s="3">
        <f>+(NVDA_data[[#This Row],[Último]]/B61)-1</f>
        <v>3.7296037296037365E-2</v>
      </c>
    </row>
    <row r="63" spans="1:3" x14ac:dyDescent="0.25">
      <c r="A63" s="1">
        <v>44287</v>
      </c>
      <c r="B63" s="2">
        <v>1381</v>
      </c>
      <c r="C63" s="3">
        <f>+(NVDA_data[[#This Row],[Último]]/B62)-1</f>
        <v>3.4456928838951351E-2</v>
      </c>
    </row>
    <row r="64" spans="1:3" x14ac:dyDescent="0.25">
      <c r="A64" s="1">
        <v>44291</v>
      </c>
      <c r="B64" s="2">
        <v>1399</v>
      </c>
      <c r="C64" s="3">
        <f>+(NVDA_data[[#This Row],[Último]]/B63)-1</f>
        <v>1.303403330919628E-2</v>
      </c>
    </row>
    <row r="65" spans="1:3" x14ac:dyDescent="0.25">
      <c r="A65" s="1">
        <v>44292</v>
      </c>
      <c r="B65" s="2">
        <v>1386</v>
      </c>
      <c r="C65" s="3">
        <f>+(NVDA_data[[#This Row],[Último]]/B64)-1</f>
        <v>-9.2923516797712713E-3</v>
      </c>
    </row>
    <row r="66" spans="1:3" x14ac:dyDescent="0.25">
      <c r="A66" s="1">
        <v>44293</v>
      </c>
      <c r="B66" s="2">
        <v>1414</v>
      </c>
      <c r="C66" s="3">
        <f>+(NVDA_data[[#This Row],[Último]]/B65)-1</f>
        <v>2.020202020202011E-2</v>
      </c>
    </row>
    <row r="67" spans="1:3" x14ac:dyDescent="0.25">
      <c r="A67" s="1">
        <v>44294</v>
      </c>
      <c r="B67" s="2">
        <v>1432</v>
      </c>
      <c r="C67" s="3">
        <f>+(NVDA_data[[#This Row],[Último]]/B66)-1</f>
        <v>1.2729844413012836E-2</v>
      </c>
    </row>
    <row r="68" spans="1:3" x14ac:dyDescent="0.25">
      <c r="A68" s="1">
        <v>44295</v>
      </c>
      <c r="B68" s="2">
        <v>1440</v>
      </c>
      <c r="C68" s="3">
        <f>+(NVDA_data[[#This Row],[Último]]/B67)-1</f>
        <v>5.5865921787709993E-3</v>
      </c>
    </row>
    <row r="69" spans="1:3" x14ac:dyDescent="0.25">
      <c r="A69" s="1">
        <v>44298</v>
      </c>
      <c r="B69" s="2">
        <v>1521</v>
      </c>
      <c r="C69" s="3">
        <f>+(NVDA_data[[#This Row],[Último]]/B68)-1</f>
        <v>5.6249999999999911E-2</v>
      </c>
    </row>
    <row r="70" spans="1:3" x14ac:dyDescent="0.25">
      <c r="A70" s="1">
        <v>44299</v>
      </c>
      <c r="B70" s="2">
        <v>1568</v>
      </c>
      <c r="C70" s="3">
        <f>+(NVDA_data[[#This Row],[Último]]/B69)-1</f>
        <v>3.0900723208415526E-2</v>
      </c>
    </row>
    <row r="71" spans="1:3" x14ac:dyDescent="0.25">
      <c r="A71" s="1">
        <v>44300</v>
      </c>
      <c r="B71" s="2">
        <v>1528</v>
      </c>
      <c r="C71" s="3">
        <f>+(NVDA_data[[#This Row],[Último]]/B70)-1</f>
        <v>-2.5510204081632626E-2</v>
      </c>
    </row>
    <row r="72" spans="1:3" x14ac:dyDescent="0.25">
      <c r="A72" s="1">
        <v>44301</v>
      </c>
      <c r="B72" s="2">
        <v>1614</v>
      </c>
      <c r="C72" s="3">
        <f>+(NVDA_data[[#This Row],[Último]]/B71)-1</f>
        <v>5.6282722513089078E-2</v>
      </c>
    </row>
    <row r="73" spans="1:3" x14ac:dyDescent="0.25">
      <c r="A73" s="1">
        <v>44302</v>
      </c>
      <c r="B73" s="2">
        <v>1591</v>
      </c>
      <c r="C73" s="3">
        <f>+(NVDA_data[[#This Row],[Último]]/B72)-1</f>
        <v>-1.4250309789343274E-2</v>
      </c>
    </row>
    <row r="74" spans="1:3" x14ac:dyDescent="0.25">
      <c r="A74" s="1">
        <v>44305</v>
      </c>
      <c r="B74" s="2">
        <v>1536</v>
      </c>
      <c r="C74" s="3">
        <f>+(NVDA_data[[#This Row],[Último]]/B73)-1</f>
        <v>-3.4569453174104314E-2</v>
      </c>
    </row>
    <row r="75" spans="1:3" x14ac:dyDescent="0.25">
      <c r="A75" s="1">
        <v>44306</v>
      </c>
      <c r="B75" s="2">
        <v>1517</v>
      </c>
      <c r="C75" s="3">
        <f>+(NVDA_data[[#This Row],[Último]]/B74)-1</f>
        <v>-1.236979166666663E-2</v>
      </c>
    </row>
    <row r="76" spans="1:3" x14ac:dyDescent="0.25">
      <c r="A76" s="1">
        <v>44307</v>
      </c>
      <c r="B76" s="2">
        <v>1536</v>
      </c>
      <c r="C76" s="3">
        <f>+(NVDA_data[[#This Row],[Último]]/B75)-1</f>
        <v>1.2524719841793042E-2</v>
      </c>
    </row>
    <row r="77" spans="1:3" x14ac:dyDescent="0.25">
      <c r="A77" s="1">
        <v>44308</v>
      </c>
      <c r="B77" s="2">
        <v>1485</v>
      </c>
      <c r="C77" s="3">
        <f>+(NVDA_data[[#This Row],[Último]]/B76)-1</f>
        <v>-3.3203125E-2</v>
      </c>
    </row>
    <row r="78" spans="1:3" x14ac:dyDescent="0.25">
      <c r="A78" s="1">
        <v>44309</v>
      </c>
      <c r="B78" s="2">
        <v>1527</v>
      </c>
      <c r="C78" s="3">
        <f>+(NVDA_data[[#This Row],[Último]]/B77)-1</f>
        <v>2.8282828282828243E-2</v>
      </c>
    </row>
    <row r="79" spans="1:3" x14ac:dyDescent="0.25">
      <c r="A79" s="1">
        <v>44312</v>
      </c>
      <c r="B79" s="2">
        <v>1548</v>
      </c>
      <c r="C79" s="3">
        <f>+(NVDA_data[[#This Row],[Último]]/B78)-1</f>
        <v>1.3752455795677854E-2</v>
      </c>
    </row>
    <row r="80" spans="1:3" x14ac:dyDescent="0.25">
      <c r="A80" s="1">
        <v>44313</v>
      </c>
      <c r="B80" s="2">
        <v>1538</v>
      </c>
      <c r="C80" s="3">
        <f>+(NVDA_data[[#This Row],[Último]]/B79)-1</f>
        <v>-6.4599483204134112E-3</v>
      </c>
    </row>
    <row r="81" spans="1:3" x14ac:dyDescent="0.25">
      <c r="A81" s="1">
        <v>44314</v>
      </c>
      <c r="B81" s="2">
        <v>1528</v>
      </c>
      <c r="C81" s="3">
        <f>+(NVDA_data[[#This Row],[Último]]/B80)-1</f>
        <v>-6.5019505851755532E-3</v>
      </c>
    </row>
    <row r="82" spans="1:3" x14ac:dyDescent="0.25">
      <c r="A82" s="1">
        <v>44315</v>
      </c>
      <c r="B82" s="2">
        <v>1532</v>
      </c>
      <c r="C82" s="3">
        <f>+(NVDA_data[[#This Row],[Último]]/B81)-1</f>
        <v>2.6178010471205049E-3</v>
      </c>
    </row>
    <row r="83" spans="1:3" x14ac:dyDescent="0.25">
      <c r="A83" s="1">
        <v>44316</v>
      </c>
      <c r="B83" s="2">
        <v>1501</v>
      </c>
      <c r="C83" s="3">
        <f>+(NVDA_data[[#This Row],[Último]]/B82)-1</f>
        <v>-2.0234986945169675E-2</v>
      </c>
    </row>
    <row r="84" spans="1:3" x14ac:dyDescent="0.25">
      <c r="A84" s="1">
        <v>44319</v>
      </c>
      <c r="B84" s="2">
        <v>1484</v>
      </c>
      <c r="C84" s="3">
        <f>+(NVDA_data[[#This Row],[Último]]/B83)-1</f>
        <v>-1.1325782811459018E-2</v>
      </c>
    </row>
    <row r="85" spans="1:3" x14ac:dyDescent="0.25">
      <c r="A85" s="1">
        <v>44320</v>
      </c>
      <c r="B85" s="2">
        <v>1435</v>
      </c>
      <c r="C85" s="3">
        <f>+(NVDA_data[[#This Row],[Último]]/B84)-1</f>
        <v>-3.301886792452835E-2</v>
      </c>
    </row>
    <row r="86" spans="1:3" x14ac:dyDescent="0.25">
      <c r="A86" s="1">
        <v>44321</v>
      </c>
      <c r="B86" s="2">
        <v>1446</v>
      </c>
      <c r="C86" s="3">
        <f>+(NVDA_data[[#This Row],[Último]]/B85)-1</f>
        <v>7.6655052264809065E-3</v>
      </c>
    </row>
    <row r="87" spans="1:3" x14ac:dyDescent="0.25">
      <c r="A87" s="1">
        <v>44322</v>
      </c>
      <c r="B87" s="2">
        <v>1452</v>
      </c>
      <c r="C87" s="3">
        <f>+(NVDA_data[[#This Row],[Último]]/B86)-1</f>
        <v>4.1493775933609811E-3</v>
      </c>
    </row>
    <row r="88" spans="1:3" x14ac:dyDescent="0.25">
      <c r="A88" s="1">
        <v>44323</v>
      </c>
      <c r="B88" s="2">
        <v>1481</v>
      </c>
      <c r="C88" s="3">
        <f>+(NVDA_data[[#This Row],[Último]]/B87)-1</f>
        <v>1.9972451790633672E-2</v>
      </c>
    </row>
    <row r="89" spans="1:3" x14ac:dyDescent="0.25">
      <c r="A89" s="1">
        <v>44326</v>
      </c>
      <c r="B89" s="2">
        <v>1427</v>
      </c>
      <c r="C89" s="3">
        <f>+(NVDA_data[[#This Row],[Último]]/B88)-1</f>
        <v>-3.6461850101282889E-2</v>
      </c>
    </row>
    <row r="90" spans="1:3" x14ac:dyDescent="0.25">
      <c r="A90" s="1">
        <v>44327</v>
      </c>
      <c r="B90" s="2">
        <v>1431</v>
      </c>
      <c r="C90" s="3">
        <f>+(NVDA_data[[#This Row],[Último]]/B89)-1</f>
        <v>2.803083391730965E-3</v>
      </c>
    </row>
    <row r="91" spans="1:3" x14ac:dyDescent="0.25">
      <c r="A91" s="1">
        <v>44328</v>
      </c>
      <c r="B91" s="2">
        <v>1376</v>
      </c>
      <c r="C91" s="3">
        <f>+(NVDA_data[[#This Row],[Último]]/B90)-1</f>
        <v>-3.8434661076170551E-2</v>
      </c>
    </row>
    <row r="92" spans="1:3" x14ac:dyDescent="0.25">
      <c r="A92" s="1">
        <v>44329</v>
      </c>
      <c r="B92" s="2">
        <v>1367</v>
      </c>
      <c r="C92" s="3">
        <f>+(NVDA_data[[#This Row],[Último]]/B91)-1</f>
        <v>-6.5406976744185608E-3</v>
      </c>
    </row>
    <row r="93" spans="1:3" x14ac:dyDescent="0.25">
      <c r="A93" s="1">
        <v>44330</v>
      </c>
      <c r="B93" s="2">
        <v>1424</v>
      </c>
      <c r="C93" s="3">
        <f>+(NVDA_data[[#This Row],[Último]]/B92)-1</f>
        <v>4.169714703730798E-2</v>
      </c>
    </row>
    <row r="94" spans="1:3" x14ac:dyDescent="0.25">
      <c r="A94" s="1">
        <v>44333</v>
      </c>
      <c r="B94" s="2">
        <v>1417</v>
      </c>
      <c r="C94" s="3">
        <f>+(NVDA_data[[#This Row],[Último]]/B93)-1</f>
        <v>-4.9157303370787053E-3</v>
      </c>
    </row>
    <row r="95" spans="1:3" x14ac:dyDescent="0.25">
      <c r="A95" s="1">
        <v>44334</v>
      </c>
      <c r="B95" s="2">
        <v>1402</v>
      </c>
      <c r="C95" s="3">
        <f>+(NVDA_data[[#This Row],[Último]]/B94)-1</f>
        <v>-1.0585744530698604E-2</v>
      </c>
    </row>
    <row r="96" spans="1:3" x14ac:dyDescent="0.25">
      <c r="A96" s="1">
        <v>44335</v>
      </c>
      <c r="B96" s="2">
        <v>1407</v>
      </c>
      <c r="C96" s="3">
        <f>+(NVDA_data[[#This Row],[Último]]/B95)-1</f>
        <v>3.566333808844524E-3</v>
      </c>
    </row>
    <row r="97" spans="1:3" x14ac:dyDescent="0.25">
      <c r="A97" s="1">
        <v>44336</v>
      </c>
      <c r="B97" s="2">
        <v>1461</v>
      </c>
      <c r="C97" s="3">
        <f>+(NVDA_data[[#This Row],[Último]]/B96)-1</f>
        <v>3.8379530916844429E-2</v>
      </c>
    </row>
    <row r="98" spans="1:3" x14ac:dyDescent="0.25">
      <c r="A98" s="1">
        <v>44337</v>
      </c>
      <c r="B98" s="2">
        <v>1499</v>
      </c>
      <c r="C98" s="3">
        <f>+(NVDA_data[[#This Row],[Último]]/B97)-1</f>
        <v>2.6009582477754867E-2</v>
      </c>
    </row>
    <row r="99" spans="1:3" x14ac:dyDescent="0.25">
      <c r="A99" s="1">
        <v>44340</v>
      </c>
      <c r="B99" s="2">
        <v>1561</v>
      </c>
      <c r="C99" s="3">
        <f>+(NVDA_data[[#This Row],[Último]]/B98)-1</f>
        <v>4.1360907271514424E-2</v>
      </c>
    </row>
    <row r="100" spans="1:3" x14ac:dyDescent="0.25">
      <c r="A100" s="1">
        <v>44341</v>
      </c>
      <c r="B100" s="2">
        <v>1565</v>
      </c>
      <c r="C100" s="3">
        <f>+(NVDA_data[[#This Row],[Último]]/B99)-1</f>
        <v>2.5624599615630128E-3</v>
      </c>
    </row>
    <row r="101" spans="1:3" x14ac:dyDescent="0.25">
      <c r="A101" s="1">
        <v>44342</v>
      </c>
      <c r="B101" s="2">
        <v>1570</v>
      </c>
      <c r="C101" s="3">
        <f>+(NVDA_data[[#This Row],[Último]]/B100)-1</f>
        <v>3.1948881789136685E-3</v>
      </c>
    </row>
    <row r="102" spans="1:3" x14ac:dyDescent="0.25">
      <c r="A102" s="1">
        <v>44343</v>
      </c>
      <c r="B102" s="2">
        <v>1549</v>
      </c>
      <c r="C102" s="3">
        <f>+(NVDA_data[[#This Row],[Último]]/B101)-1</f>
        <v>-1.3375796178343946E-2</v>
      </c>
    </row>
    <row r="103" spans="1:3" x14ac:dyDescent="0.25">
      <c r="A103" s="1">
        <v>44344</v>
      </c>
      <c r="B103" s="2">
        <v>1624</v>
      </c>
      <c r="C103" s="3">
        <f>+(NVDA_data[[#This Row],[Último]]/B102)-1</f>
        <v>4.8418334409296326E-2</v>
      </c>
    </row>
    <row r="104" spans="1:3" x14ac:dyDescent="0.25">
      <c r="A104" s="1">
        <v>44348</v>
      </c>
      <c r="B104" s="2">
        <v>1626</v>
      </c>
      <c r="C104" s="3">
        <f>+(NVDA_data[[#This Row],[Último]]/B103)-1</f>
        <v>1.2315270935960854E-3</v>
      </c>
    </row>
    <row r="105" spans="1:3" x14ac:dyDescent="0.25">
      <c r="A105" s="1">
        <v>44349</v>
      </c>
      <c r="B105" s="2">
        <v>1678</v>
      </c>
      <c r="C105" s="3">
        <f>+(NVDA_data[[#This Row],[Último]]/B104)-1</f>
        <v>3.1980319803198043E-2</v>
      </c>
    </row>
    <row r="106" spans="1:3" x14ac:dyDescent="0.25">
      <c r="A106" s="1">
        <v>44350</v>
      </c>
      <c r="B106" s="2">
        <v>1697</v>
      </c>
      <c r="C106" s="3">
        <f>+(NVDA_data[[#This Row],[Último]]/B105)-1</f>
        <v>1.1323003575685275E-2</v>
      </c>
    </row>
    <row r="107" spans="1:3" x14ac:dyDescent="0.25">
      <c r="A107" s="1">
        <v>44351</v>
      </c>
      <c r="B107" s="2">
        <v>1758</v>
      </c>
      <c r="C107" s="3">
        <f>+(NVDA_data[[#This Row],[Último]]/B106)-1</f>
        <v>3.5945786682380687E-2</v>
      </c>
    </row>
    <row r="108" spans="1:3" x14ac:dyDescent="0.25">
      <c r="A108" s="1">
        <v>44354</v>
      </c>
      <c r="B108" s="2">
        <v>1762</v>
      </c>
      <c r="C108" s="3">
        <f>+(NVDA_data[[#This Row],[Último]]/B107)-1</f>
        <v>2.2753128555177415E-3</v>
      </c>
    </row>
    <row r="109" spans="1:3" x14ac:dyDescent="0.25">
      <c r="A109" s="1">
        <v>44355</v>
      </c>
      <c r="B109" s="2">
        <v>1746</v>
      </c>
      <c r="C109" s="3">
        <f>+(NVDA_data[[#This Row],[Último]]/B108)-1</f>
        <v>-9.0805902383654935E-3</v>
      </c>
    </row>
    <row r="110" spans="1:3" x14ac:dyDescent="0.25">
      <c r="A110" s="1">
        <v>44356</v>
      </c>
      <c r="B110" s="2">
        <v>1736</v>
      </c>
      <c r="C110" s="3">
        <f>+(NVDA_data[[#This Row],[Último]]/B109)-1</f>
        <v>-5.7273768613974596E-3</v>
      </c>
    </row>
    <row r="111" spans="1:3" x14ac:dyDescent="0.25">
      <c r="A111" s="1">
        <v>44357</v>
      </c>
      <c r="B111" s="2">
        <v>1743</v>
      </c>
      <c r="C111" s="3">
        <f>+(NVDA_data[[#This Row],[Último]]/B110)-1</f>
        <v>4.0322580645162365E-3</v>
      </c>
    </row>
    <row r="112" spans="1:3" x14ac:dyDescent="0.25">
      <c r="A112" s="1">
        <v>44358</v>
      </c>
      <c r="B112" s="2">
        <v>1783</v>
      </c>
      <c r="C112" s="3">
        <f>+(NVDA_data[[#This Row],[Último]]/B111)-1</f>
        <v>2.2948938611589309E-2</v>
      </c>
    </row>
    <row r="113" spans="1:3" x14ac:dyDescent="0.25">
      <c r="A113" s="1">
        <v>44361</v>
      </c>
      <c r="B113" s="2">
        <v>1802</v>
      </c>
      <c r="C113" s="3">
        <f>+(NVDA_data[[#This Row],[Último]]/B112)-1</f>
        <v>1.0656197420078506E-2</v>
      </c>
    </row>
    <row r="114" spans="1:3" x14ac:dyDescent="0.25">
      <c r="A114" s="1">
        <v>44362</v>
      </c>
      <c r="B114" s="2">
        <v>1779</v>
      </c>
      <c r="C114" s="3">
        <f>+(NVDA_data[[#This Row],[Último]]/B113)-1</f>
        <v>-1.2763596004439548E-2</v>
      </c>
    </row>
    <row r="115" spans="1:3" x14ac:dyDescent="0.25">
      <c r="A115" s="1">
        <v>44363</v>
      </c>
      <c r="B115" s="2">
        <v>1781</v>
      </c>
      <c r="C115" s="3">
        <f>+(NVDA_data[[#This Row],[Último]]/B114)-1</f>
        <v>1.1242270938729426E-3</v>
      </c>
    </row>
    <row r="116" spans="1:3" x14ac:dyDescent="0.25">
      <c r="A116" s="1">
        <v>44364</v>
      </c>
      <c r="B116" s="2">
        <v>1866</v>
      </c>
      <c r="C116" s="3">
        <f>+(NVDA_data[[#This Row],[Último]]/B115)-1</f>
        <v>4.7725996631106105E-2</v>
      </c>
    </row>
    <row r="117" spans="1:3" x14ac:dyDescent="0.25">
      <c r="A117" s="1">
        <v>44365</v>
      </c>
      <c r="B117" s="2">
        <v>1864</v>
      </c>
      <c r="C117" s="3">
        <f>+(NVDA_data[[#This Row],[Último]]/B116)-1</f>
        <v>-1.071811361200381E-3</v>
      </c>
    </row>
    <row r="118" spans="1:3" x14ac:dyDescent="0.25">
      <c r="A118" s="1">
        <v>44368</v>
      </c>
      <c r="B118" s="2">
        <v>1843</v>
      </c>
      <c r="C118" s="3">
        <f>+(NVDA_data[[#This Row],[Último]]/B117)-1</f>
        <v>-1.1266094420600892E-2</v>
      </c>
    </row>
    <row r="119" spans="1:3" x14ac:dyDescent="0.25">
      <c r="A119" s="1">
        <v>44369</v>
      </c>
      <c r="B119" s="2">
        <v>1889</v>
      </c>
      <c r="C119" s="3">
        <f>+(NVDA_data[[#This Row],[Último]]/B118)-1</f>
        <v>2.4959305480195315E-2</v>
      </c>
    </row>
    <row r="120" spans="1:3" x14ac:dyDescent="0.25">
      <c r="A120" s="1">
        <v>44370</v>
      </c>
      <c r="B120" s="2">
        <v>1906</v>
      </c>
      <c r="C120" s="3">
        <f>+(NVDA_data[[#This Row],[Último]]/B119)-1</f>
        <v>8.9994706193752272E-3</v>
      </c>
    </row>
    <row r="121" spans="1:3" x14ac:dyDescent="0.25">
      <c r="A121" s="1">
        <v>44371</v>
      </c>
      <c r="B121" s="2">
        <v>1921</v>
      </c>
      <c r="C121" s="3">
        <f>+(NVDA_data[[#This Row],[Último]]/B120)-1</f>
        <v>7.8698845750262425E-3</v>
      </c>
    </row>
    <row r="122" spans="1:3" x14ac:dyDescent="0.25">
      <c r="A122" s="1">
        <v>44372</v>
      </c>
      <c r="B122" s="2">
        <v>1903</v>
      </c>
      <c r="C122" s="3">
        <f>+(NVDA_data[[#This Row],[Último]]/B121)-1</f>
        <v>-9.3701197293076799E-3</v>
      </c>
    </row>
    <row r="123" spans="1:3" x14ac:dyDescent="0.25">
      <c r="A123" s="1">
        <v>44375</v>
      </c>
      <c r="B123" s="2">
        <v>1998</v>
      </c>
      <c r="C123" s="3">
        <f>+(NVDA_data[[#This Row],[Último]]/B122)-1</f>
        <v>4.9921177088807056E-2</v>
      </c>
    </row>
    <row r="124" spans="1:3" x14ac:dyDescent="0.25">
      <c r="A124" s="1">
        <v>44376</v>
      </c>
      <c r="B124" s="2">
        <v>2003</v>
      </c>
      <c r="C124" s="3">
        <f>+(NVDA_data[[#This Row],[Último]]/B123)-1</f>
        <v>2.5025025025025016E-3</v>
      </c>
    </row>
    <row r="125" spans="1:3" x14ac:dyDescent="0.25">
      <c r="A125" s="1">
        <v>44377</v>
      </c>
      <c r="B125" s="2">
        <v>2000</v>
      </c>
      <c r="C125" s="3">
        <f>+(NVDA_data[[#This Row],[Último]]/B124)-1</f>
        <v>-1.4977533699450651E-3</v>
      </c>
    </row>
    <row r="126" spans="1:3" x14ac:dyDescent="0.25">
      <c r="A126" s="1">
        <v>44378</v>
      </c>
      <c r="B126" s="2">
        <v>2021</v>
      </c>
      <c r="C126" s="3">
        <f>+(NVDA_data[[#This Row],[Último]]/B125)-1</f>
        <v>1.0499999999999954E-2</v>
      </c>
    </row>
    <row r="127" spans="1:3" x14ac:dyDescent="0.25">
      <c r="A127" s="1">
        <v>44379</v>
      </c>
      <c r="B127" s="2">
        <v>2049</v>
      </c>
      <c r="C127" s="3">
        <f>+(NVDA_data[[#This Row],[Último]]/B126)-1</f>
        <v>1.385452746165261E-2</v>
      </c>
    </row>
    <row r="128" spans="1:3" x14ac:dyDescent="0.25">
      <c r="A128" s="1">
        <v>44383</v>
      </c>
      <c r="B128" s="2">
        <v>2070</v>
      </c>
      <c r="C128" s="3">
        <f>+(NVDA_data[[#This Row],[Último]]/B127)-1</f>
        <v>1.024890190336758E-2</v>
      </c>
    </row>
    <row r="129" spans="1:3" x14ac:dyDescent="0.25">
      <c r="A129" s="1">
        <v>44384</v>
      </c>
      <c r="B129" s="2">
        <v>2037</v>
      </c>
      <c r="C129" s="3">
        <f>+(NVDA_data[[#This Row],[Último]]/B128)-1</f>
        <v>-1.5942028985507228E-2</v>
      </c>
    </row>
    <row r="130" spans="1:3" x14ac:dyDescent="0.25">
      <c r="A130" s="1">
        <v>44385</v>
      </c>
      <c r="B130" s="2">
        <v>1990</v>
      </c>
      <c r="C130" s="3">
        <f>+(NVDA_data[[#This Row],[Último]]/B129)-1</f>
        <v>-2.307314678448702E-2</v>
      </c>
    </row>
    <row r="131" spans="1:3" x14ac:dyDescent="0.25">
      <c r="A131" s="1">
        <v>44386</v>
      </c>
      <c r="B131" s="2">
        <v>2005</v>
      </c>
      <c r="C131" s="3">
        <f>+(NVDA_data[[#This Row],[Último]]/B130)-1</f>
        <v>7.5376884422111434E-3</v>
      </c>
    </row>
    <row r="132" spans="1:3" x14ac:dyDescent="0.25">
      <c r="A132" s="1">
        <v>44389</v>
      </c>
      <c r="B132" s="2">
        <v>2051</v>
      </c>
      <c r="C132" s="3">
        <f>+(NVDA_data[[#This Row],[Último]]/B131)-1</f>
        <v>2.2942643391521189E-2</v>
      </c>
    </row>
    <row r="133" spans="1:3" x14ac:dyDescent="0.25">
      <c r="A133" s="1">
        <v>44390</v>
      </c>
      <c r="B133" s="2">
        <v>2025</v>
      </c>
      <c r="C133" s="3">
        <f>+(NVDA_data[[#This Row],[Último]]/B132)-1</f>
        <v>-1.2676743052169703E-2</v>
      </c>
    </row>
    <row r="134" spans="1:3" x14ac:dyDescent="0.25">
      <c r="A134" s="1">
        <v>44391</v>
      </c>
      <c r="B134" s="2">
        <v>1984</v>
      </c>
      <c r="C134" s="3">
        <f>+(NVDA_data[[#This Row],[Último]]/B133)-1</f>
        <v>-2.0246913580246884E-2</v>
      </c>
    </row>
    <row r="135" spans="1:3" x14ac:dyDescent="0.25">
      <c r="A135" s="1">
        <v>44392</v>
      </c>
      <c r="B135" s="2">
        <v>1897</v>
      </c>
      <c r="C135" s="3">
        <f>+(NVDA_data[[#This Row],[Último]]/B134)-1</f>
        <v>-4.3850806451612878E-2</v>
      </c>
    </row>
    <row r="136" spans="1:3" x14ac:dyDescent="0.25">
      <c r="A136" s="1">
        <v>44393</v>
      </c>
      <c r="B136" s="2">
        <v>1816</v>
      </c>
      <c r="C136" s="3">
        <f>+(NVDA_data[[#This Row],[Último]]/B135)-1</f>
        <v>-4.2698998418555623E-2</v>
      </c>
    </row>
    <row r="137" spans="1:3" x14ac:dyDescent="0.25">
      <c r="A137" s="1">
        <v>44396</v>
      </c>
      <c r="B137" s="2">
        <v>1878</v>
      </c>
      <c r="C137" s="3">
        <f>+(NVDA_data[[#This Row],[Último]]/B136)-1</f>
        <v>3.4140969162995694E-2</v>
      </c>
    </row>
    <row r="138" spans="1:3" x14ac:dyDescent="0.25">
      <c r="A138" s="1">
        <v>44397</v>
      </c>
      <c r="B138" s="2">
        <v>1861</v>
      </c>
      <c r="C138" s="3">
        <f>+(NVDA_data[[#This Row],[Último]]/B137)-1</f>
        <v>-9.0521831735889124E-3</v>
      </c>
    </row>
    <row r="139" spans="1:3" x14ac:dyDescent="0.25">
      <c r="A139" s="1">
        <v>44398</v>
      </c>
      <c r="B139" s="2">
        <v>1941</v>
      </c>
      <c r="C139" s="3">
        <f>+(NVDA_data[[#This Row],[Último]]/B138)-1</f>
        <v>4.2987641053197301E-2</v>
      </c>
    </row>
    <row r="140" spans="1:3" x14ac:dyDescent="0.25">
      <c r="A140" s="1">
        <v>44399</v>
      </c>
      <c r="B140" s="2">
        <v>1959</v>
      </c>
      <c r="C140" s="3">
        <f>+(NVDA_data[[#This Row],[Último]]/B139)-1</f>
        <v>9.2735703245749868E-3</v>
      </c>
    </row>
    <row r="141" spans="1:3" x14ac:dyDescent="0.25">
      <c r="A141" s="1">
        <v>44400</v>
      </c>
      <c r="B141" s="2">
        <v>1956</v>
      </c>
      <c r="C141" s="3">
        <f>+(NVDA_data[[#This Row],[Último]]/B140)-1</f>
        <v>-1.5313935681470214E-3</v>
      </c>
    </row>
    <row r="142" spans="1:3" x14ac:dyDescent="0.25">
      <c r="A142" s="1">
        <v>44403</v>
      </c>
      <c r="B142" s="2">
        <v>1929</v>
      </c>
      <c r="C142" s="3">
        <f>+(NVDA_data[[#This Row],[Último]]/B141)-1</f>
        <v>-1.3803680981595123E-2</v>
      </c>
    </row>
    <row r="143" spans="1:3" x14ac:dyDescent="0.25">
      <c r="A143" s="1">
        <v>44404</v>
      </c>
      <c r="B143" s="2">
        <v>1921</v>
      </c>
      <c r="C143" s="3">
        <f>+(NVDA_data[[#This Row],[Último]]/B142)-1</f>
        <v>-4.14722654224986E-3</v>
      </c>
    </row>
    <row r="144" spans="1:3" x14ac:dyDescent="0.25">
      <c r="A144" s="1">
        <v>44405</v>
      </c>
      <c r="B144" s="2">
        <v>1950</v>
      </c>
      <c r="C144" s="3">
        <f>+(NVDA_data[[#This Row],[Último]]/B143)-1</f>
        <v>1.5096304008328953E-2</v>
      </c>
    </row>
    <row r="145" spans="1:3" x14ac:dyDescent="0.25">
      <c r="A145" s="1">
        <v>44406</v>
      </c>
      <c r="B145" s="2">
        <v>1966</v>
      </c>
      <c r="C145" s="3">
        <f>+(NVDA_data[[#This Row],[Último]]/B144)-1</f>
        <v>8.2051282051283092E-3</v>
      </c>
    </row>
    <row r="146" spans="1:3" x14ac:dyDescent="0.25">
      <c r="A146" s="1">
        <v>44407</v>
      </c>
      <c r="B146" s="2">
        <v>1950</v>
      </c>
      <c r="C146" s="3">
        <f>+(NVDA_data[[#This Row],[Último]]/B145)-1</f>
        <v>-8.1383519837232576E-3</v>
      </c>
    </row>
    <row r="147" spans="1:3" x14ac:dyDescent="0.25">
      <c r="A147" s="1">
        <v>44410</v>
      </c>
      <c r="B147" s="2">
        <v>1975</v>
      </c>
      <c r="C147" s="3">
        <f>+(NVDA_data[[#This Row],[Último]]/B146)-1</f>
        <v>1.2820512820512775E-2</v>
      </c>
    </row>
    <row r="148" spans="1:3" x14ac:dyDescent="0.25">
      <c r="A148" s="1">
        <v>44411</v>
      </c>
      <c r="B148" s="2">
        <v>1982</v>
      </c>
      <c r="C148" s="3">
        <f>+(NVDA_data[[#This Row],[Último]]/B147)-1</f>
        <v>3.5443037974682845E-3</v>
      </c>
    </row>
    <row r="149" spans="1:3" x14ac:dyDescent="0.25">
      <c r="A149" s="1">
        <v>44412</v>
      </c>
      <c r="B149" s="2">
        <v>2027</v>
      </c>
      <c r="C149" s="3">
        <f>+(NVDA_data[[#This Row],[Último]]/B148)-1</f>
        <v>2.2704339051463185E-2</v>
      </c>
    </row>
    <row r="150" spans="1:3" x14ac:dyDescent="0.25">
      <c r="A150" s="1">
        <v>44413</v>
      </c>
      <c r="B150" s="2">
        <v>2064</v>
      </c>
      <c r="C150" s="3">
        <f>+(NVDA_data[[#This Row],[Último]]/B149)-1</f>
        <v>1.8253576714356123E-2</v>
      </c>
    </row>
    <row r="151" spans="1:3" x14ac:dyDescent="0.25">
      <c r="A151" s="1">
        <v>44414</v>
      </c>
      <c r="B151" s="2">
        <v>2037</v>
      </c>
      <c r="C151" s="3">
        <f>+(NVDA_data[[#This Row],[Último]]/B150)-1</f>
        <v>-1.3081395348837233E-2</v>
      </c>
    </row>
    <row r="152" spans="1:3" x14ac:dyDescent="0.25">
      <c r="A152" s="1">
        <v>44417</v>
      </c>
      <c r="B152" s="2">
        <v>2030</v>
      </c>
      <c r="C152" s="3">
        <f>+(NVDA_data[[#This Row],[Último]]/B151)-1</f>
        <v>-3.4364261168384758E-3</v>
      </c>
    </row>
    <row r="153" spans="1:3" x14ac:dyDescent="0.25">
      <c r="A153" s="1">
        <v>44418</v>
      </c>
      <c r="B153" s="2">
        <v>1994</v>
      </c>
      <c r="C153" s="3">
        <f>+(NVDA_data[[#This Row],[Último]]/B152)-1</f>
        <v>-1.7733990147783207E-2</v>
      </c>
    </row>
    <row r="154" spans="1:3" x14ac:dyDescent="0.25">
      <c r="A154" s="1">
        <v>44419</v>
      </c>
      <c r="B154" s="2">
        <v>1970</v>
      </c>
      <c r="C154" s="3">
        <f>+(NVDA_data[[#This Row],[Último]]/B153)-1</f>
        <v>-1.2036108324974926E-2</v>
      </c>
    </row>
    <row r="155" spans="1:3" x14ac:dyDescent="0.25">
      <c r="A155" s="1">
        <v>44420</v>
      </c>
      <c r="B155" s="2">
        <v>1991</v>
      </c>
      <c r="C155" s="3">
        <f>+(NVDA_data[[#This Row],[Último]]/B154)-1</f>
        <v>1.0659898477157315E-2</v>
      </c>
    </row>
    <row r="156" spans="1:3" x14ac:dyDescent="0.25">
      <c r="A156" s="1">
        <v>44421</v>
      </c>
      <c r="B156" s="2">
        <v>2019</v>
      </c>
      <c r="C156" s="3">
        <f>+(NVDA_data[[#This Row],[Último]]/B155)-1</f>
        <v>1.4063284781516749E-2</v>
      </c>
    </row>
    <row r="157" spans="1:3" x14ac:dyDescent="0.25">
      <c r="A157" s="1">
        <v>44424</v>
      </c>
      <c r="B157" s="2">
        <v>1995</v>
      </c>
      <c r="C157" s="3">
        <f>+(NVDA_data[[#This Row],[Último]]/B156)-1</f>
        <v>-1.1887072808320909E-2</v>
      </c>
    </row>
    <row r="158" spans="1:3" x14ac:dyDescent="0.25">
      <c r="A158" s="1">
        <v>44425</v>
      </c>
      <c r="B158" s="2">
        <v>1946</v>
      </c>
      <c r="C158" s="3">
        <f>+(NVDA_data[[#This Row],[Último]]/B157)-1</f>
        <v>-2.4561403508771895E-2</v>
      </c>
    </row>
    <row r="159" spans="1:3" x14ac:dyDescent="0.25">
      <c r="A159" s="1">
        <v>44426</v>
      </c>
      <c r="B159" s="2">
        <v>1904</v>
      </c>
      <c r="C159" s="3">
        <f>+(NVDA_data[[#This Row],[Último]]/B158)-1</f>
        <v>-2.1582733812949617E-2</v>
      </c>
    </row>
    <row r="160" spans="1:3" x14ac:dyDescent="0.25">
      <c r="A160" s="1">
        <v>44427</v>
      </c>
      <c r="B160" s="2">
        <v>1980</v>
      </c>
      <c r="C160" s="3">
        <f>+(NVDA_data[[#This Row],[Último]]/B159)-1</f>
        <v>3.9915966386554702E-2</v>
      </c>
    </row>
    <row r="161" spans="1:3" x14ac:dyDescent="0.25">
      <c r="A161" s="1">
        <v>44428</v>
      </c>
      <c r="B161" s="2">
        <v>2082</v>
      </c>
      <c r="C161" s="3">
        <f>+(NVDA_data[[#This Row],[Último]]/B160)-1</f>
        <v>5.1515151515151514E-2</v>
      </c>
    </row>
    <row r="162" spans="1:3" x14ac:dyDescent="0.25">
      <c r="A162" s="1">
        <v>44431</v>
      </c>
      <c r="B162" s="2">
        <v>2196</v>
      </c>
      <c r="C162" s="3">
        <f>+(NVDA_data[[#This Row],[Último]]/B161)-1</f>
        <v>5.4755043227665778E-2</v>
      </c>
    </row>
    <row r="163" spans="1:3" x14ac:dyDescent="0.25">
      <c r="A163" s="1">
        <v>44432</v>
      </c>
      <c r="B163" s="2">
        <v>2179</v>
      </c>
      <c r="C163" s="3">
        <f>+(NVDA_data[[#This Row],[Último]]/B162)-1</f>
        <v>-7.7413479052823586E-3</v>
      </c>
    </row>
    <row r="164" spans="1:3" x14ac:dyDescent="0.25">
      <c r="A164" s="1">
        <v>44433</v>
      </c>
      <c r="B164" s="2">
        <v>2221</v>
      </c>
      <c r="C164" s="3">
        <f>+(NVDA_data[[#This Row],[Último]]/B163)-1</f>
        <v>1.9274896741624525E-2</v>
      </c>
    </row>
    <row r="165" spans="1:3" x14ac:dyDescent="0.25">
      <c r="A165" s="1">
        <v>44434</v>
      </c>
      <c r="B165" s="2">
        <v>2207</v>
      </c>
      <c r="C165" s="3">
        <f>+(NVDA_data[[#This Row],[Último]]/B164)-1</f>
        <v>-6.303466906798727E-3</v>
      </c>
    </row>
    <row r="166" spans="1:3" x14ac:dyDescent="0.25">
      <c r="A166" s="1">
        <v>44435</v>
      </c>
      <c r="B166" s="2">
        <v>2264</v>
      </c>
      <c r="C166" s="3">
        <f>+(NVDA_data[[#This Row],[Último]]/B165)-1</f>
        <v>2.5826914363389131E-2</v>
      </c>
    </row>
    <row r="167" spans="1:3" x14ac:dyDescent="0.25">
      <c r="A167" s="1">
        <v>44438</v>
      </c>
      <c r="B167" s="2">
        <v>2269</v>
      </c>
      <c r="C167" s="3">
        <f>+(NVDA_data[[#This Row],[Último]]/B166)-1</f>
        <v>2.2084805653710404E-3</v>
      </c>
    </row>
    <row r="168" spans="1:3" x14ac:dyDescent="0.25">
      <c r="A168" s="1">
        <v>44439</v>
      </c>
      <c r="B168" s="2">
        <v>2239</v>
      </c>
      <c r="C168" s="3">
        <f>+(NVDA_data[[#This Row],[Último]]/B167)-1</f>
        <v>-1.3221683561040143E-2</v>
      </c>
    </row>
    <row r="169" spans="1:3" x14ac:dyDescent="0.25">
      <c r="A169" s="1">
        <v>44440</v>
      </c>
      <c r="B169" s="2">
        <v>2244</v>
      </c>
      <c r="C169" s="3">
        <f>+(NVDA_data[[#This Row],[Último]]/B168)-1</f>
        <v>2.2331397945511977E-3</v>
      </c>
    </row>
    <row r="170" spans="1:3" x14ac:dyDescent="0.25">
      <c r="A170" s="1">
        <v>44441</v>
      </c>
      <c r="B170" s="2">
        <v>2240</v>
      </c>
      <c r="C170" s="3">
        <f>+(NVDA_data[[#This Row],[Último]]/B169)-1</f>
        <v>-1.7825311942959443E-3</v>
      </c>
    </row>
    <row r="171" spans="1:3" x14ac:dyDescent="0.25">
      <c r="A171" s="1">
        <v>44442</v>
      </c>
      <c r="B171" s="2">
        <v>2284</v>
      </c>
      <c r="C171" s="3">
        <f>+(NVDA_data[[#This Row],[Último]]/B170)-1</f>
        <v>1.9642857142857073E-2</v>
      </c>
    </row>
    <row r="172" spans="1:3" x14ac:dyDescent="0.25">
      <c r="A172" s="1">
        <v>44446</v>
      </c>
      <c r="B172" s="2">
        <v>2266</v>
      </c>
      <c r="C172" s="3">
        <f>+(NVDA_data[[#This Row],[Último]]/B171)-1</f>
        <v>-7.8809106830122211E-3</v>
      </c>
    </row>
    <row r="173" spans="1:3" x14ac:dyDescent="0.25">
      <c r="A173" s="1">
        <v>44447</v>
      </c>
      <c r="B173" s="2">
        <v>2234</v>
      </c>
      <c r="C173" s="3">
        <f>+(NVDA_data[[#This Row],[Último]]/B172)-1</f>
        <v>-1.4121800529567574E-2</v>
      </c>
    </row>
    <row r="174" spans="1:3" x14ac:dyDescent="0.25">
      <c r="A174" s="1">
        <v>44448</v>
      </c>
      <c r="B174" s="2">
        <v>2218</v>
      </c>
      <c r="C174" s="3">
        <f>+(NVDA_data[[#This Row],[Último]]/B173)-1</f>
        <v>-7.1620411817368002E-3</v>
      </c>
    </row>
    <row r="175" spans="1:3" x14ac:dyDescent="0.25">
      <c r="A175" s="1">
        <v>44449</v>
      </c>
      <c r="B175" s="2">
        <v>2248</v>
      </c>
      <c r="C175" s="3">
        <f>+(NVDA_data[[#This Row],[Último]]/B174)-1</f>
        <v>1.352569882777277E-2</v>
      </c>
    </row>
    <row r="176" spans="1:3" x14ac:dyDescent="0.25">
      <c r="A176" s="1">
        <v>44452</v>
      </c>
      <c r="B176" s="2">
        <v>2215</v>
      </c>
      <c r="C176" s="3">
        <f>+(NVDA_data[[#This Row],[Último]]/B175)-1</f>
        <v>-1.4679715302491125E-2</v>
      </c>
    </row>
    <row r="177" spans="1:3" x14ac:dyDescent="0.25">
      <c r="A177" s="1">
        <v>44453</v>
      </c>
      <c r="B177" s="2">
        <v>2224</v>
      </c>
      <c r="C177" s="3">
        <f>+(NVDA_data[[#This Row],[Último]]/B176)-1</f>
        <v>4.0632054176072963E-3</v>
      </c>
    </row>
    <row r="178" spans="1:3" x14ac:dyDescent="0.25">
      <c r="A178" s="1">
        <v>44454</v>
      </c>
      <c r="B178" s="2">
        <v>2234</v>
      </c>
      <c r="C178" s="3">
        <f>+(NVDA_data[[#This Row],[Último]]/B177)-1</f>
        <v>4.4964028776979248E-3</v>
      </c>
    </row>
    <row r="179" spans="1:3" x14ac:dyDescent="0.25">
      <c r="A179" s="1">
        <v>44455</v>
      </c>
      <c r="B179" s="2">
        <v>2224</v>
      </c>
      <c r="C179" s="3">
        <f>+(NVDA_data[[#This Row],[Último]]/B178)-1</f>
        <v>-4.4762757385854446E-3</v>
      </c>
    </row>
    <row r="180" spans="1:3" x14ac:dyDescent="0.25">
      <c r="A180" s="1">
        <v>44456</v>
      </c>
      <c r="B180" s="2">
        <v>2190</v>
      </c>
      <c r="C180" s="3">
        <f>+(NVDA_data[[#This Row],[Último]]/B179)-1</f>
        <v>-1.5287769784172678E-2</v>
      </c>
    </row>
    <row r="181" spans="1:3" x14ac:dyDescent="0.25">
      <c r="A181" s="1">
        <v>44459</v>
      </c>
      <c r="B181" s="2">
        <v>2111</v>
      </c>
      <c r="C181" s="3">
        <f>+(NVDA_data[[#This Row],[Último]]/B180)-1</f>
        <v>-3.6073059360730575E-2</v>
      </c>
    </row>
    <row r="182" spans="1:3" x14ac:dyDescent="0.25">
      <c r="A182" s="1">
        <v>44460</v>
      </c>
      <c r="B182" s="2">
        <v>2125</v>
      </c>
      <c r="C182" s="3">
        <f>+(NVDA_data[[#This Row],[Último]]/B181)-1</f>
        <v>6.6319279962103739E-3</v>
      </c>
    </row>
    <row r="183" spans="1:3" x14ac:dyDescent="0.25">
      <c r="A183" s="1">
        <v>44461</v>
      </c>
      <c r="B183" s="2">
        <v>2194</v>
      </c>
      <c r="C183" s="3">
        <f>+(NVDA_data[[#This Row],[Último]]/B182)-1</f>
        <v>3.2470588235294029E-2</v>
      </c>
    </row>
    <row r="184" spans="1:3" x14ac:dyDescent="0.25">
      <c r="A184" s="1">
        <v>44462</v>
      </c>
      <c r="B184" s="2">
        <v>2248</v>
      </c>
      <c r="C184" s="3">
        <f>+(NVDA_data[[#This Row],[Último]]/B183)-1</f>
        <v>2.4612579762989917E-2</v>
      </c>
    </row>
    <row r="185" spans="1:3" x14ac:dyDescent="0.25">
      <c r="A185" s="1">
        <v>44463</v>
      </c>
      <c r="B185" s="2">
        <v>2208</v>
      </c>
      <c r="C185" s="3">
        <f>+(NVDA_data[[#This Row],[Último]]/B184)-1</f>
        <v>-1.7793594306049876E-2</v>
      </c>
    </row>
    <row r="186" spans="1:3" x14ac:dyDescent="0.25">
      <c r="A186" s="1">
        <v>44466</v>
      </c>
      <c r="B186" s="2">
        <v>2166</v>
      </c>
      <c r="C186" s="3">
        <f>+(NVDA_data[[#This Row],[Último]]/B185)-1</f>
        <v>-1.9021739130434812E-2</v>
      </c>
    </row>
    <row r="187" spans="1:3" x14ac:dyDescent="0.25">
      <c r="A187" s="1">
        <v>44467</v>
      </c>
      <c r="B187" s="2">
        <v>2070</v>
      </c>
      <c r="C187" s="3">
        <f>+(NVDA_data[[#This Row],[Último]]/B186)-1</f>
        <v>-4.4321329639889218E-2</v>
      </c>
    </row>
    <row r="188" spans="1:3" x14ac:dyDescent="0.25">
      <c r="A188" s="1">
        <v>44468</v>
      </c>
      <c r="B188" s="2">
        <v>2052</v>
      </c>
      <c r="C188" s="3">
        <f>+(NVDA_data[[#This Row],[Último]]/B187)-1</f>
        <v>-8.6956521739129933E-3</v>
      </c>
    </row>
    <row r="189" spans="1:3" x14ac:dyDescent="0.25">
      <c r="A189" s="1">
        <v>44469</v>
      </c>
      <c r="B189" s="2">
        <v>2072</v>
      </c>
      <c r="C189" s="3">
        <f>+(NVDA_data[[#This Row],[Último]]/B188)-1</f>
        <v>9.74658869395717E-3</v>
      </c>
    </row>
    <row r="190" spans="1:3" x14ac:dyDescent="0.25">
      <c r="A190" s="1">
        <v>44470</v>
      </c>
      <c r="B190" s="2">
        <v>2074</v>
      </c>
      <c r="C190" s="3">
        <f>+(NVDA_data[[#This Row],[Último]]/B189)-1</f>
        <v>9.6525096525090781E-4</v>
      </c>
    </row>
    <row r="191" spans="1:3" x14ac:dyDescent="0.25">
      <c r="A191" s="1">
        <v>44473</v>
      </c>
      <c r="B191" s="2">
        <v>1973</v>
      </c>
      <c r="C191" s="3">
        <f>+(NVDA_data[[#This Row],[Último]]/B190)-1</f>
        <v>-4.8698167791706881E-2</v>
      </c>
    </row>
    <row r="192" spans="1:3" x14ac:dyDescent="0.25">
      <c r="A192" s="1">
        <v>44474</v>
      </c>
      <c r="B192" s="2">
        <v>2045</v>
      </c>
      <c r="C192" s="3">
        <f>+(NVDA_data[[#This Row],[Último]]/B191)-1</f>
        <v>3.6492650785605596E-2</v>
      </c>
    </row>
    <row r="193" spans="1:3" x14ac:dyDescent="0.25">
      <c r="A193" s="1">
        <v>44475</v>
      </c>
      <c r="B193" s="2">
        <v>2070</v>
      </c>
      <c r="C193" s="3">
        <f>+(NVDA_data[[#This Row],[Último]]/B192)-1</f>
        <v>1.2224938875305513E-2</v>
      </c>
    </row>
    <row r="194" spans="1:3" x14ac:dyDescent="0.25">
      <c r="A194" s="1">
        <v>44476</v>
      </c>
      <c r="B194" s="2">
        <v>2107</v>
      </c>
      <c r="C194" s="3">
        <f>+(NVDA_data[[#This Row],[Último]]/B193)-1</f>
        <v>1.7874396135265647E-2</v>
      </c>
    </row>
    <row r="195" spans="1:3" x14ac:dyDescent="0.25">
      <c r="A195" s="1">
        <v>44477</v>
      </c>
      <c r="B195" s="2">
        <v>2083</v>
      </c>
      <c r="C195" s="3">
        <f>+(NVDA_data[[#This Row],[Último]]/B194)-1</f>
        <v>-1.1390602752728962E-2</v>
      </c>
    </row>
    <row r="196" spans="1:3" x14ac:dyDescent="0.25">
      <c r="A196" s="1">
        <v>44480</v>
      </c>
      <c r="B196" s="2">
        <v>2070</v>
      </c>
      <c r="C196" s="3">
        <f>+(NVDA_data[[#This Row],[Último]]/B195)-1</f>
        <v>-6.2409985597695616E-3</v>
      </c>
    </row>
    <row r="197" spans="1:3" x14ac:dyDescent="0.25">
      <c r="A197" s="1">
        <v>44481</v>
      </c>
      <c r="B197" s="2">
        <v>2067</v>
      </c>
      <c r="C197" s="3">
        <f>+(NVDA_data[[#This Row],[Último]]/B196)-1</f>
        <v>-1.4492753623188692E-3</v>
      </c>
    </row>
    <row r="198" spans="1:3" x14ac:dyDescent="0.25">
      <c r="A198" s="1">
        <v>44482</v>
      </c>
      <c r="B198" s="2">
        <v>2094</v>
      </c>
      <c r="C198" s="3">
        <f>+(NVDA_data[[#This Row],[Último]]/B197)-1</f>
        <v>1.3062409288824295E-2</v>
      </c>
    </row>
    <row r="199" spans="1:3" x14ac:dyDescent="0.25">
      <c r="A199" s="1">
        <v>44483</v>
      </c>
      <c r="B199" s="2">
        <v>2175</v>
      </c>
      <c r="C199" s="3">
        <f>+(NVDA_data[[#This Row],[Último]]/B198)-1</f>
        <v>3.8681948424068802E-2</v>
      </c>
    </row>
    <row r="200" spans="1:3" x14ac:dyDescent="0.25">
      <c r="A200" s="1">
        <v>44484</v>
      </c>
      <c r="B200" s="2">
        <v>2186</v>
      </c>
      <c r="C200" s="3">
        <f>+(NVDA_data[[#This Row],[Último]]/B199)-1</f>
        <v>5.057471264367841E-3</v>
      </c>
    </row>
    <row r="201" spans="1:3" x14ac:dyDescent="0.25">
      <c r="A201" s="1">
        <v>44487</v>
      </c>
      <c r="B201" s="2">
        <v>2222</v>
      </c>
      <c r="C201" s="3">
        <f>+(NVDA_data[[#This Row],[Último]]/B200)-1</f>
        <v>1.6468435498627532E-2</v>
      </c>
    </row>
    <row r="202" spans="1:3" x14ac:dyDescent="0.25">
      <c r="A202" s="1">
        <v>44488</v>
      </c>
      <c r="B202" s="2">
        <v>2229</v>
      </c>
      <c r="C202" s="3">
        <f>+(NVDA_data[[#This Row],[Último]]/B201)-1</f>
        <v>3.1503150315030926E-3</v>
      </c>
    </row>
    <row r="203" spans="1:3" x14ac:dyDescent="0.25">
      <c r="A203" s="1">
        <v>44489</v>
      </c>
      <c r="B203" s="2">
        <v>2210</v>
      </c>
      <c r="C203" s="3">
        <f>+(NVDA_data[[#This Row],[Último]]/B202)-1</f>
        <v>-8.5240017945267255E-3</v>
      </c>
    </row>
    <row r="204" spans="1:3" x14ac:dyDescent="0.25">
      <c r="A204" s="1">
        <v>44490</v>
      </c>
      <c r="B204" s="2">
        <v>2269</v>
      </c>
      <c r="C204" s="3">
        <f>+(NVDA_data[[#This Row],[Último]]/B203)-1</f>
        <v>2.6696832579185426E-2</v>
      </c>
    </row>
    <row r="205" spans="1:3" x14ac:dyDescent="0.25">
      <c r="A205" s="1">
        <v>44491</v>
      </c>
      <c r="B205" s="2">
        <v>2273</v>
      </c>
      <c r="C205" s="3">
        <f>+(NVDA_data[[#This Row],[Último]]/B204)-1</f>
        <v>1.7628911414719894E-3</v>
      </c>
    </row>
    <row r="206" spans="1:3" x14ac:dyDescent="0.25">
      <c r="A206" s="1">
        <v>44494</v>
      </c>
      <c r="B206" s="2">
        <v>2317</v>
      </c>
      <c r="C206" s="3">
        <f>+(NVDA_data[[#This Row],[Último]]/B205)-1</f>
        <v>1.9357677078750468E-2</v>
      </c>
    </row>
    <row r="207" spans="1:3" x14ac:dyDescent="0.25">
      <c r="A207" s="1">
        <v>44495</v>
      </c>
      <c r="B207" s="2">
        <v>2472</v>
      </c>
      <c r="C207" s="3">
        <f>+(NVDA_data[[#This Row],[Último]]/B206)-1</f>
        <v>6.6896849374190825E-2</v>
      </c>
    </row>
    <row r="208" spans="1:3" x14ac:dyDescent="0.25">
      <c r="A208" s="1">
        <v>44496</v>
      </c>
      <c r="B208" s="2">
        <v>2445</v>
      </c>
      <c r="C208" s="3">
        <f>+(NVDA_data[[#This Row],[Último]]/B207)-1</f>
        <v>-1.0922330097087429E-2</v>
      </c>
    </row>
    <row r="209" spans="1:3" x14ac:dyDescent="0.25">
      <c r="A209" s="1">
        <v>44497</v>
      </c>
      <c r="B209" s="2">
        <v>2494</v>
      </c>
      <c r="C209" s="3">
        <f>+(NVDA_data[[#This Row],[Último]]/B208)-1</f>
        <v>2.0040899795501055E-2</v>
      </c>
    </row>
    <row r="210" spans="1:3" x14ac:dyDescent="0.25">
      <c r="A210" s="1">
        <v>44498</v>
      </c>
      <c r="B210" s="2">
        <v>2557</v>
      </c>
      <c r="C210" s="3">
        <f>+(NVDA_data[[#This Row],[Último]]/B209)-1</f>
        <v>2.5260625501202894E-2</v>
      </c>
    </row>
    <row r="211" spans="1:3" x14ac:dyDescent="0.25">
      <c r="A211" s="1">
        <v>44501</v>
      </c>
      <c r="B211" s="2">
        <v>2583</v>
      </c>
      <c r="C211" s="3">
        <f>+(NVDA_data[[#This Row],[Último]]/B210)-1</f>
        <v>1.0168165819319563E-2</v>
      </c>
    </row>
    <row r="212" spans="1:3" x14ac:dyDescent="0.25">
      <c r="A212" s="1">
        <v>44502</v>
      </c>
      <c r="B212" s="2">
        <v>2640</v>
      </c>
      <c r="C212" s="3">
        <f>+(NVDA_data[[#This Row],[Último]]/B211)-1</f>
        <v>2.2067363530778206E-2</v>
      </c>
    </row>
    <row r="213" spans="1:3" x14ac:dyDescent="0.25">
      <c r="A213" s="1">
        <v>44503</v>
      </c>
      <c r="B213" s="2">
        <v>2660</v>
      </c>
      <c r="C213" s="3">
        <f>+(NVDA_data[[#This Row],[Último]]/B212)-1</f>
        <v>7.575757575757569E-3</v>
      </c>
    </row>
    <row r="214" spans="1:3" x14ac:dyDescent="0.25">
      <c r="A214" s="1">
        <v>44504</v>
      </c>
      <c r="B214" s="2">
        <v>2980</v>
      </c>
      <c r="C214" s="3">
        <f>+(NVDA_data[[#This Row],[Último]]/B213)-1</f>
        <v>0.12030075187969924</v>
      </c>
    </row>
    <row r="215" spans="1:3" x14ac:dyDescent="0.25">
      <c r="A215" s="1">
        <v>44505</v>
      </c>
      <c r="B215" s="2">
        <v>2975</v>
      </c>
      <c r="C215" s="3">
        <f>+(NVDA_data[[#This Row],[Último]]/B214)-1</f>
        <v>-1.6778523489933139E-3</v>
      </c>
    </row>
    <row r="216" spans="1:3" x14ac:dyDescent="0.25">
      <c r="A216" s="1">
        <v>44508</v>
      </c>
      <c r="B216" s="2">
        <v>3080</v>
      </c>
      <c r="C216" s="3">
        <f>+(NVDA_data[[#This Row],[Último]]/B215)-1</f>
        <v>3.529411764705892E-2</v>
      </c>
    </row>
    <row r="217" spans="1:3" x14ac:dyDescent="0.25">
      <c r="A217" s="1">
        <v>44509</v>
      </c>
      <c r="B217" s="2">
        <v>3066</v>
      </c>
      <c r="C217" s="3">
        <f>+(NVDA_data[[#This Row],[Último]]/B216)-1</f>
        <v>-4.5454545454545192E-3</v>
      </c>
    </row>
    <row r="218" spans="1:3" x14ac:dyDescent="0.25">
      <c r="A218" s="1">
        <v>44510</v>
      </c>
      <c r="B218" s="2">
        <v>2946</v>
      </c>
      <c r="C218" s="3">
        <f>+(NVDA_data[[#This Row],[Último]]/B217)-1</f>
        <v>-3.9138943248532287E-2</v>
      </c>
    </row>
    <row r="219" spans="1:3" x14ac:dyDescent="0.25">
      <c r="A219" s="1">
        <v>44511</v>
      </c>
      <c r="B219" s="2">
        <v>3039</v>
      </c>
      <c r="C219" s="3">
        <f>+(NVDA_data[[#This Row],[Último]]/B218)-1</f>
        <v>3.1568228105906204E-2</v>
      </c>
    </row>
    <row r="220" spans="1:3" x14ac:dyDescent="0.25">
      <c r="A220" s="1">
        <v>44512</v>
      </c>
      <c r="B220" s="2">
        <v>3039</v>
      </c>
      <c r="C220" s="3">
        <f>+(NVDA_data[[#This Row],[Último]]/B219)-1</f>
        <v>0</v>
      </c>
    </row>
    <row r="221" spans="1:3" x14ac:dyDescent="0.25">
      <c r="A221" s="1">
        <v>44515</v>
      </c>
      <c r="B221" s="2">
        <v>3002</v>
      </c>
      <c r="C221" s="3">
        <f>+(NVDA_data[[#This Row],[Último]]/B220)-1</f>
        <v>-1.2175057584731808E-2</v>
      </c>
    </row>
    <row r="222" spans="1:3" x14ac:dyDescent="0.25">
      <c r="A222" s="1">
        <v>44516</v>
      </c>
      <c r="B222" s="2">
        <v>3020</v>
      </c>
      <c r="C222" s="3">
        <f>+(NVDA_data[[#This Row],[Último]]/B221)-1</f>
        <v>5.9960026648899767E-3</v>
      </c>
    </row>
    <row r="223" spans="1:3" x14ac:dyDescent="0.25">
      <c r="A223" s="1">
        <v>44517</v>
      </c>
      <c r="B223" s="2">
        <v>2926</v>
      </c>
      <c r="C223" s="3">
        <f>+(NVDA_data[[#This Row],[Último]]/B222)-1</f>
        <v>-3.1125827814569518E-2</v>
      </c>
    </row>
    <row r="224" spans="1:3" x14ac:dyDescent="0.25">
      <c r="A224" s="1">
        <v>44518</v>
      </c>
      <c r="B224" s="2">
        <v>3168</v>
      </c>
      <c r="C224" s="3">
        <f>+(NVDA_data[[#This Row],[Último]]/B223)-1</f>
        <v>8.2706766917293173E-2</v>
      </c>
    </row>
    <row r="225" spans="1:3" x14ac:dyDescent="0.25">
      <c r="A225" s="1">
        <v>44519</v>
      </c>
      <c r="B225" s="2">
        <v>3298</v>
      </c>
      <c r="C225" s="3">
        <f>+(NVDA_data[[#This Row],[Último]]/B224)-1</f>
        <v>4.1035353535353591E-2</v>
      </c>
    </row>
    <row r="226" spans="1:3" x14ac:dyDescent="0.25">
      <c r="A226" s="1">
        <v>44522</v>
      </c>
      <c r="B226" s="2">
        <v>3196</v>
      </c>
      <c r="C226" s="3">
        <f>+(NVDA_data[[#This Row],[Último]]/B225)-1</f>
        <v>-3.0927835051546393E-2</v>
      </c>
    </row>
    <row r="227" spans="1:3" x14ac:dyDescent="0.25">
      <c r="A227" s="1">
        <v>44523</v>
      </c>
      <c r="B227" s="2">
        <v>3175</v>
      </c>
      <c r="C227" s="3">
        <f>+(NVDA_data[[#This Row],[Último]]/B226)-1</f>
        <v>-6.5707133917396465E-3</v>
      </c>
    </row>
    <row r="228" spans="1:3" x14ac:dyDescent="0.25">
      <c r="A228" s="1">
        <v>44524</v>
      </c>
      <c r="B228" s="2">
        <v>3267</v>
      </c>
      <c r="C228" s="3">
        <f>+(NVDA_data[[#This Row],[Último]]/B227)-1</f>
        <v>2.8976377952755872E-2</v>
      </c>
    </row>
    <row r="229" spans="1:3" x14ac:dyDescent="0.25">
      <c r="A229" s="1">
        <v>44526</v>
      </c>
      <c r="B229" s="2">
        <v>3150</v>
      </c>
      <c r="C229" s="3">
        <f>+(NVDA_data[[#This Row],[Último]]/B228)-1</f>
        <v>-3.5812672176308569E-2</v>
      </c>
    </row>
    <row r="230" spans="1:3" x14ac:dyDescent="0.25">
      <c r="A230" s="1">
        <v>44529</v>
      </c>
      <c r="B230" s="2">
        <v>3338</v>
      </c>
      <c r="C230" s="3">
        <f>+(NVDA_data[[#This Row],[Último]]/B229)-1</f>
        <v>5.9682539682539781E-2</v>
      </c>
    </row>
    <row r="231" spans="1:3" x14ac:dyDescent="0.25">
      <c r="A231" s="1">
        <v>44530</v>
      </c>
      <c r="B231" s="2">
        <v>3268</v>
      </c>
      <c r="C231" s="3">
        <f>+(NVDA_data[[#This Row],[Último]]/B230)-1</f>
        <v>-2.0970641102456611E-2</v>
      </c>
    </row>
    <row r="232" spans="1:3" x14ac:dyDescent="0.25">
      <c r="A232" s="1">
        <v>44531</v>
      </c>
      <c r="B232" s="2">
        <v>3143</v>
      </c>
      <c r="C232" s="3">
        <f>+(NVDA_data[[#This Row],[Último]]/B231)-1</f>
        <v>-3.8249694002447931E-2</v>
      </c>
    </row>
    <row r="233" spans="1:3" x14ac:dyDescent="0.25">
      <c r="A233" s="1">
        <v>44532</v>
      </c>
      <c r="B233" s="2">
        <v>3213</v>
      </c>
      <c r="C233" s="3">
        <f>+(NVDA_data[[#This Row],[Último]]/B232)-1</f>
        <v>2.2271714922049046E-2</v>
      </c>
    </row>
    <row r="234" spans="1:3" x14ac:dyDescent="0.25">
      <c r="A234" s="1">
        <v>44533</v>
      </c>
      <c r="B234" s="2">
        <v>3069</v>
      </c>
      <c r="C234" s="3">
        <f>+(NVDA_data[[#This Row],[Último]]/B233)-1</f>
        <v>-4.4817927170868299E-2</v>
      </c>
    </row>
    <row r="235" spans="1:3" x14ac:dyDescent="0.25">
      <c r="A235" s="1">
        <v>44536</v>
      </c>
      <c r="B235" s="2">
        <v>3004</v>
      </c>
      <c r="C235" s="3">
        <f>+(NVDA_data[[#This Row],[Último]]/B234)-1</f>
        <v>-2.1179537308569585E-2</v>
      </c>
    </row>
    <row r="236" spans="1:3" x14ac:dyDescent="0.25">
      <c r="A236" s="1">
        <v>44537</v>
      </c>
      <c r="B236" s="2">
        <v>3243</v>
      </c>
      <c r="C236" s="3">
        <f>+(NVDA_data[[#This Row],[Último]]/B235)-1</f>
        <v>7.9560585885485979E-2</v>
      </c>
    </row>
    <row r="237" spans="1:3" x14ac:dyDescent="0.25">
      <c r="A237" s="1">
        <v>44538</v>
      </c>
      <c r="B237" s="2">
        <v>3183</v>
      </c>
      <c r="C237" s="3">
        <f>+(NVDA_data[[#This Row],[Último]]/B236)-1</f>
        <v>-1.8501387604070274E-2</v>
      </c>
    </row>
    <row r="238" spans="1:3" x14ac:dyDescent="0.25">
      <c r="A238" s="1">
        <v>44539</v>
      </c>
      <c r="B238" s="2">
        <v>3049</v>
      </c>
      <c r="C238" s="3">
        <f>+(NVDA_data[[#This Row],[Último]]/B237)-1</f>
        <v>-4.2098649073201377E-2</v>
      </c>
    </row>
    <row r="239" spans="1:3" x14ac:dyDescent="0.25">
      <c r="A239" s="1">
        <v>44540</v>
      </c>
      <c r="B239" s="2">
        <v>3020</v>
      </c>
      <c r="C239" s="3">
        <f>+(NVDA_data[[#This Row],[Último]]/B238)-1</f>
        <v>-9.5113151853066791E-3</v>
      </c>
    </row>
    <row r="240" spans="1:3" x14ac:dyDescent="0.25">
      <c r="A240" s="1">
        <v>44543</v>
      </c>
      <c r="B240" s="2">
        <v>2816</v>
      </c>
      <c r="C240" s="3">
        <f>+(NVDA_data[[#This Row],[Último]]/B239)-1</f>
        <v>-6.7549668874172131E-2</v>
      </c>
    </row>
    <row r="241" spans="1:3" x14ac:dyDescent="0.25">
      <c r="A241" s="1">
        <v>44544</v>
      </c>
      <c r="B241" s="2">
        <v>2834</v>
      </c>
      <c r="C241" s="3">
        <f>+(NVDA_data[[#This Row],[Último]]/B240)-1</f>
        <v>6.3920454545454142E-3</v>
      </c>
    </row>
    <row r="242" spans="1:3" x14ac:dyDescent="0.25">
      <c r="A242" s="1">
        <v>44545</v>
      </c>
      <c r="B242" s="2">
        <v>3046</v>
      </c>
      <c r="C242" s="3">
        <f>+(NVDA_data[[#This Row],[Último]]/B241)-1</f>
        <v>7.4805928016937084E-2</v>
      </c>
    </row>
    <row r="243" spans="1:3" x14ac:dyDescent="0.25">
      <c r="A243" s="1">
        <v>44546</v>
      </c>
      <c r="B243" s="2">
        <v>2839</v>
      </c>
      <c r="C243" s="3">
        <f>+(NVDA_data[[#This Row],[Último]]/B242)-1</f>
        <v>-6.7957977675640158E-2</v>
      </c>
    </row>
    <row r="244" spans="1:3" x14ac:dyDescent="0.25">
      <c r="A244" s="1">
        <v>44547</v>
      </c>
      <c r="B244" s="2">
        <v>2780</v>
      </c>
      <c r="C244" s="3">
        <f>+(NVDA_data[[#This Row],[Último]]/B243)-1</f>
        <v>-2.0781965480803133E-2</v>
      </c>
    </row>
    <row r="245" spans="1:3" x14ac:dyDescent="0.25">
      <c r="A245" s="1">
        <v>44550</v>
      </c>
      <c r="B245" s="2">
        <v>2772</v>
      </c>
      <c r="C245" s="3">
        <f>+(NVDA_data[[#This Row],[Último]]/B244)-1</f>
        <v>-2.8776978417266452E-3</v>
      </c>
    </row>
    <row r="246" spans="1:3" x14ac:dyDescent="0.25">
      <c r="A246" s="1">
        <v>44551</v>
      </c>
      <c r="B246" s="2">
        <v>2907</v>
      </c>
      <c r="C246" s="3">
        <f>+(NVDA_data[[#This Row],[Último]]/B245)-1</f>
        <v>4.870129870129869E-2</v>
      </c>
    </row>
    <row r="247" spans="1:3" x14ac:dyDescent="0.25">
      <c r="A247" s="1">
        <v>44552</v>
      </c>
      <c r="B247" s="2">
        <v>2940</v>
      </c>
      <c r="C247" s="3">
        <f>+(NVDA_data[[#This Row],[Último]]/B246)-1</f>
        <v>1.1351909184726505E-2</v>
      </c>
    </row>
    <row r="248" spans="1:3" x14ac:dyDescent="0.25">
      <c r="A248" s="1">
        <v>44553</v>
      </c>
      <c r="B248" s="2">
        <v>2964</v>
      </c>
      <c r="C248" s="3">
        <f>+(NVDA_data[[#This Row],[Último]]/B247)-1</f>
        <v>8.1632653061225469E-3</v>
      </c>
    </row>
    <row r="249" spans="1:3" x14ac:dyDescent="0.25">
      <c r="A249" s="1">
        <v>44557</v>
      </c>
      <c r="B249" s="2">
        <v>3095</v>
      </c>
      <c r="C249" s="3">
        <f>+(NVDA_data[[#This Row],[Último]]/B248)-1</f>
        <v>4.4197031039136192E-2</v>
      </c>
    </row>
    <row r="250" spans="1:3" x14ac:dyDescent="0.25">
      <c r="A250" s="1">
        <v>44558</v>
      </c>
      <c r="B250" s="2">
        <v>3032</v>
      </c>
      <c r="C250" s="3">
        <f>+(NVDA_data[[#This Row],[Último]]/B249)-1</f>
        <v>-2.0355411954765756E-2</v>
      </c>
    </row>
    <row r="251" spans="1:3" x14ac:dyDescent="0.25">
      <c r="A251" s="1">
        <v>44559</v>
      </c>
      <c r="B251" s="2">
        <v>3000</v>
      </c>
      <c r="C251" s="3">
        <f>+(NVDA_data[[#This Row],[Último]]/B250)-1</f>
        <v>-1.0554089709762571E-2</v>
      </c>
    </row>
    <row r="252" spans="1:3" x14ac:dyDescent="0.25">
      <c r="A252" s="1">
        <v>44560</v>
      </c>
      <c r="B252" s="2">
        <v>2959</v>
      </c>
      <c r="C252" s="3">
        <f>+(NVDA_data[[#This Row],[Último]]/B251)-1</f>
        <v>-1.3666666666666716E-2</v>
      </c>
    </row>
    <row r="253" spans="1:3" x14ac:dyDescent="0.25">
      <c r="A253" s="1">
        <v>44561</v>
      </c>
      <c r="B253" s="2">
        <v>2941</v>
      </c>
      <c r="C253" s="3">
        <f>+(NVDA_data[[#This Row],[Último]]/B252)-1</f>
        <v>-6.0831361946603879E-3</v>
      </c>
    </row>
    <row r="254" spans="1:3" x14ac:dyDescent="0.25">
      <c r="A254" s="1">
        <v>44564</v>
      </c>
      <c r="B254" s="2">
        <v>3012</v>
      </c>
      <c r="C254" s="3">
        <f>+(NVDA_data[[#This Row],[Último]]/B253)-1</f>
        <v>2.4141448486909134E-2</v>
      </c>
    </row>
    <row r="255" spans="1:3" x14ac:dyDescent="0.25">
      <c r="A255" s="1">
        <v>44565</v>
      </c>
      <c r="B255" s="2">
        <v>2929</v>
      </c>
      <c r="C255" s="3">
        <f>+(NVDA_data[[#This Row],[Último]]/B254)-1</f>
        <v>-2.7556440903054424E-2</v>
      </c>
    </row>
    <row r="256" spans="1:3" x14ac:dyDescent="0.25">
      <c r="A256" s="1">
        <v>44566</v>
      </c>
      <c r="B256" s="2">
        <v>2760</v>
      </c>
      <c r="C256" s="3">
        <f>+(NVDA_data[[#This Row],[Último]]/B255)-1</f>
        <v>-5.7698873335609413E-2</v>
      </c>
    </row>
    <row r="257" spans="1:3" x14ac:dyDescent="0.25">
      <c r="A257" s="1">
        <v>44567</v>
      </c>
      <c r="B257" s="2">
        <v>2818</v>
      </c>
      <c r="C257" s="3">
        <f>+(NVDA_data[[#This Row],[Último]]/B256)-1</f>
        <v>2.1014492753623104E-2</v>
      </c>
    </row>
    <row r="258" spans="1:3" x14ac:dyDescent="0.25">
      <c r="A258" s="1">
        <v>44568</v>
      </c>
      <c r="B258" s="2">
        <v>2725</v>
      </c>
      <c r="C258" s="3">
        <f>+(NVDA_data[[#This Row],[Último]]/B257)-1</f>
        <v>-3.3002129169623862E-2</v>
      </c>
    </row>
    <row r="259" spans="1:3" x14ac:dyDescent="0.25">
      <c r="A259" s="1">
        <v>44571</v>
      </c>
      <c r="B259" s="2">
        <v>2740</v>
      </c>
      <c r="C259" s="3">
        <f>+(NVDA_data[[#This Row],[Último]]/B258)-1</f>
        <v>5.5045871559633586E-3</v>
      </c>
    </row>
    <row r="260" spans="1:3" x14ac:dyDescent="0.25">
      <c r="A260" s="1">
        <v>44572</v>
      </c>
      <c r="B260" s="2">
        <v>2782</v>
      </c>
      <c r="C260" s="3">
        <f>+(NVDA_data[[#This Row],[Último]]/B259)-1</f>
        <v>1.5328467153284731E-2</v>
      </c>
    </row>
    <row r="261" spans="1:3" x14ac:dyDescent="0.25">
      <c r="A261" s="1">
        <v>44573</v>
      </c>
      <c r="B261" s="2">
        <v>2800</v>
      </c>
      <c r="C261" s="3">
        <f>+(NVDA_data[[#This Row],[Último]]/B260)-1</f>
        <v>6.470165348670065E-3</v>
      </c>
    </row>
    <row r="262" spans="1:3" x14ac:dyDescent="0.25">
      <c r="A262" s="1">
        <v>44574</v>
      </c>
      <c r="B262" s="2">
        <v>2657</v>
      </c>
      <c r="C262" s="3">
        <f>+(NVDA_data[[#This Row],[Último]]/B261)-1</f>
        <v>-5.1071428571428545E-2</v>
      </c>
    </row>
    <row r="263" spans="1:3" x14ac:dyDescent="0.25">
      <c r="A263" s="1">
        <v>44575</v>
      </c>
      <c r="B263" s="2">
        <v>2694</v>
      </c>
      <c r="C263" s="3">
        <f>+(NVDA_data[[#This Row],[Último]]/B262)-1</f>
        <v>1.3925479864508761E-2</v>
      </c>
    </row>
    <row r="264" spans="1:3" x14ac:dyDescent="0.25">
      <c r="A264" s="1">
        <v>44579</v>
      </c>
      <c r="B264" s="2">
        <v>2590</v>
      </c>
      <c r="C264" s="3">
        <f>+(NVDA_data[[#This Row],[Último]]/B263)-1</f>
        <v>-3.8604305864884947E-2</v>
      </c>
    </row>
    <row r="265" spans="1:3" x14ac:dyDescent="0.25">
      <c r="A265" s="1">
        <v>44580</v>
      </c>
      <c r="B265" s="2">
        <v>2507</v>
      </c>
      <c r="C265" s="3">
        <f>+(NVDA_data[[#This Row],[Último]]/B264)-1</f>
        <v>-3.2046332046332004E-2</v>
      </c>
    </row>
    <row r="266" spans="1:3" x14ac:dyDescent="0.25">
      <c r="A266" s="1">
        <v>44581</v>
      </c>
      <c r="B266" s="2">
        <v>2415</v>
      </c>
      <c r="C266" s="3">
        <f>+(NVDA_data[[#This Row],[Último]]/B265)-1</f>
        <v>-3.669724770642202E-2</v>
      </c>
    </row>
    <row r="267" spans="1:3" x14ac:dyDescent="0.25">
      <c r="A267" s="1">
        <v>44582</v>
      </c>
      <c r="B267" s="2">
        <v>2337</v>
      </c>
      <c r="C267" s="3">
        <f>+(NVDA_data[[#This Row],[Último]]/B266)-1</f>
        <v>-3.2298136645962705E-2</v>
      </c>
    </row>
    <row r="268" spans="1:3" x14ac:dyDescent="0.25">
      <c r="A268" s="1">
        <v>44585</v>
      </c>
      <c r="B268" s="2">
        <v>2337</v>
      </c>
      <c r="C268" s="3">
        <f>+(NVDA_data[[#This Row],[Último]]/B267)-1</f>
        <v>0</v>
      </c>
    </row>
    <row r="269" spans="1:3" x14ac:dyDescent="0.25">
      <c r="A269" s="1">
        <v>44586</v>
      </c>
      <c r="B269" s="2">
        <v>2232</v>
      </c>
      <c r="C269" s="3">
        <f>+(NVDA_data[[#This Row],[Último]]/B268)-1</f>
        <v>-4.4929396662387711E-2</v>
      </c>
    </row>
    <row r="270" spans="1:3" x14ac:dyDescent="0.25">
      <c r="A270" s="1">
        <v>44587</v>
      </c>
      <c r="B270" s="2">
        <v>2277</v>
      </c>
      <c r="C270" s="3">
        <f>+(NVDA_data[[#This Row],[Último]]/B269)-1</f>
        <v>2.0161290322580738E-2</v>
      </c>
    </row>
    <row r="271" spans="1:3" x14ac:dyDescent="0.25">
      <c r="A271" s="1">
        <v>44588</v>
      </c>
      <c r="B271" s="2">
        <v>2194</v>
      </c>
      <c r="C271" s="3">
        <f>+(NVDA_data[[#This Row],[Último]]/B270)-1</f>
        <v>-3.645147123407988E-2</v>
      </c>
    </row>
    <row r="272" spans="1:3" x14ac:dyDescent="0.25">
      <c r="A272" s="1">
        <v>44589</v>
      </c>
      <c r="B272" s="2">
        <v>2284</v>
      </c>
      <c r="C272" s="3">
        <f>+(NVDA_data[[#This Row],[Último]]/B271)-1</f>
        <v>4.1020966271649861E-2</v>
      </c>
    </row>
    <row r="273" spans="1:3" x14ac:dyDescent="0.25">
      <c r="A273" s="1">
        <v>44592</v>
      </c>
      <c r="B273" s="2">
        <v>2449</v>
      </c>
      <c r="C273" s="3">
        <f>+(NVDA_data[[#This Row],[Último]]/B272)-1</f>
        <v>7.2241681260945656E-2</v>
      </c>
    </row>
    <row r="274" spans="1:3" x14ac:dyDescent="0.25">
      <c r="A274" s="1">
        <v>44593</v>
      </c>
      <c r="B274" s="2">
        <v>2464</v>
      </c>
      <c r="C274" s="3">
        <f>+(NVDA_data[[#This Row],[Último]]/B273)-1</f>
        <v>6.1249489587587025E-3</v>
      </c>
    </row>
    <row r="275" spans="1:3" x14ac:dyDescent="0.25">
      <c r="A275" s="1">
        <v>44594</v>
      </c>
      <c r="B275" s="2">
        <v>2524</v>
      </c>
      <c r="C275" s="3">
        <f>+(NVDA_data[[#This Row],[Último]]/B274)-1</f>
        <v>2.4350649350649345E-2</v>
      </c>
    </row>
    <row r="276" spans="1:3" x14ac:dyDescent="0.25">
      <c r="A276" s="1">
        <v>44595</v>
      </c>
      <c r="B276" s="2">
        <v>2395</v>
      </c>
      <c r="C276" s="3">
        <f>+(NVDA_data[[#This Row],[Último]]/B275)-1</f>
        <v>-5.1109350237717899E-2</v>
      </c>
    </row>
    <row r="277" spans="1:3" x14ac:dyDescent="0.25">
      <c r="A277" s="1">
        <v>44596</v>
      </c>
      <c r="B277" s="2">
        <v>2432</v>
      </c>
      <c r="C277" s="3">
        <f>+(NVDA_data[[#This Row],[Último]]/B276)-1</f>
        <v>1.544885177453037E-2</v>
      </c>
    </row>
    <row r="278" spans="1:3" x14ac:dyDescent="0.25">
      <c r="A278" s="1">
        <v>44599</v>
      </c>
      <c r="B278" s="2">
        <v>2473</v>
      </c>
      <c r="C278" s="3">
        <f>+(NVDA_data[[#This Row],[Último]]/B277)-1</f>
        <v>1.6858552631578982E-2</v>
      </c>
    </row>
    <row r="279" spans="1:3" x14ac:dyDescent="0.25">
      <c r="A279" s="1">
        <v>44600</v>
      </c>
      <c r="B279" s="2">
        <v>2511</v>
      </c>
      <c r="C279" s="3">
        <f>+(NVDA_data[[#This Row],[Último]]/B278)-1</f>
        <v>1.5365952284674522E-2</v>
      </c>
    </row>
    <row r="280" spans="1:3" x14ac:dyDescent="0.25">
      <c r="A280" s="1">
        <v>44601</v>
      </c>
      <c r="B280" s="2">
        <v>2670</v>
      </c>
      <c r="C280" s="3">
        <f>+(NVDA_data[[#This Row],[Último]]/B279)-1</f>
        <v>6.3321385902030958E-2</v>
      </c>
    </row>
    <row r="281" spans="1:3" x14ac:dyDescent="0.25">
      <c r="A281" s="1">
        <v>44602</v>
      </c>
      <c r="B281" s="2">
        <v>2582</v>
      </c>
      <c r="C281" s="3">
        <f>+(NVDA_data[[#This Row],[Último]]/B280)-1</f>
        <v>-3.2958801498127355E-2</v>
      </c>
    </row>
    <row r="282" spans="1:3" x14ac:dyDescent="0.25">
      <c r="A282" s="1">
        <v>44603</v>
      </c>
      <c r="B282" s="2">
        <v>2395</v>
      </c>
      <c r="C282" s="3">
        <f>+(NVDA_data[[#This Row],[Último]]/B281)-1</f>
        <v>-7.2424477149496513E-2</v>
      </c>
    </row>
    <row r="283" spans="1:3" x14ac:dyDescent="0.25">
      <c r="A283" s="1">
        <v>44606</v>
      </c>
      <c r="B283" s="2">
        <v>2427</v>
      </c>
      <c r="C283" s="3">
        <f>+(NVDA_data[[#This Row],[Último]]/B282)-1</f>
        <v>1.3361169102296344E-2</v>
      </c>
    </row>
    <row r="284" spans="1:3" x14ac:dyDescent="0.25">
      <c r="A284" s="1">
        <v>44607</v>
      </c>
      <c r="B284" s="2">
        <v>2650</v>
      </c>
      <c r="C284" s="3">
        <f>+(NVDA_data[[#This Row],[Último]]/B283)-1</f>
        <v>9.1882983106716054E-2</v>
      </c>
    </row>
    <row r="285" spans="1:3" x14ac:dyDescent="0.25">
      <c r="A285" s="1">
        <v>44608</v>
      </c>
      <c r="B285" s="2">
        <v>2651</v>
      </c>
      <c r="C285" s="3">
        <f>+(NVDA_data[[#This Row],[Último]]/B284)-1</f>
        <v>3.7735849056597104E-4</v>
      </c>
    </row>
    <row r="286" spans="1:3" x14ac:dyDescent="0.25">
      <c r="A286" s="1">
        <v>44609</v>
      </c>
      <c r="B286" s="2">
        <v>2451</v>
      </c>
      <c r="C286" s="3">
        <f>+(NVDA_data[[#This Row],[Último]]/B285)-1</f>
        <v>-7.5443228970199949E-2</v>
      </c>
    </row>
    <row r="287" spans="1:3" x14ac:dyDescent="0.25">
      <c r="A287" s="1">
        <v>44610</v>
      </c>
      <c r="B287" s="2">
        <v>2364</v>
      </c>
      <c r="C287" s="3">
        <f>+(NVDA_data[[#This Row],[Último]]/B286)-1</f>
        <v>-3.5495716034271707E-2</v>
      </c>
    </row>
    <row r="288" spans="1:3" x14ac:dyDescent="0.25">
      <c r="A288" s="1">
        <v>44614</v>
      </c>
      <c r="B288" s="2">
        <v>2339</v>
      </c>
      <c r="C288" s="3">
        <f>+(NVDA_data[[#This Row],[Último]]/B287)-1</f>
        <v>-1.0575296108290999E-2</v>
      </c>
    </row>
    <row r="289" spans="1:3" x14ac:dyDescent="0.25">
      <c r="A289" s="1">
        <v>44615</v>
      </c>
      <c r="B289" s="2">
        <v>2239</v>
      </c>
      <c r="C289" s="3">
        <f>+(NVDA_data[[#This Row],[Último]]/B288)-1</f>
        <v>-4.2753313381787117E-2</v>
      </c>
    </row>
    <row r="290" spans="1:3" x14ac:dyDescent="0.25">
      <c r="A290" s="1">
        <v>44616</v>
      </c>
      <c r="B290" s="2">
        <v>2375</v>
      </c>
      <c r="C290" s="3">
        <f>+(NVDA_data[[#This Row],[Último]]/B289)-1</f>
        <v>6.0741402411790935E-2</v>
      </c>
    </row>
    <row r="291" spans="1:3" x14ac:dyDescent="0.25">
      <c r="A291" s="1">
        <v>44617</v>
      </c>
      <c r="B291" s="2">
        <v>2416</v>
      </c>
      <c r="C291" s="3">
        <f>+(NVDA_data[[#This Row],[Último]]/B290)-1</f>
        <v>1.7263157894736869E-2</v>
      </c>
    </row>
    <row r="292" spans="1:3" x14ac:dyDescent="0.25">
      <c r="A292" s="1">
        <v>44620</v>
      </c>
      <c r="B292" s="2">
        <v>2439</v>
      </c>
      <c r="C292" s="3">
        <f>+(NVDA_data[[#This Row],[Último]]/B291)-1</f>
        <v>9.5198675496688256E-3</v>
      </c>
    </row>
    <row r="293" spans="1:3" x14ac:dyDescent="0.25">
      <c r="A293" s="1">
        <v>44621</v>
      </c>
      <c r="B293" s="2">
        <v>2348</v>
      </c>
      <c r="C293" s="3">
        <f>+(NVDA_data[[#This Row],[Último]]/B292)-1</f>
        <v>-3.7310373103731087E-2</v>
      </c>
    </row>
    <row r="294" spans="1:3" x14ac:dyDescent="0.25">
      <c r="A294" s="1">
        <v>44622</v>
      </c>
      <c r="B294" s="2">
        <v>2422</v>
      </c>
      <c r="C294" s="3">
        <f>+(NVDA_data[[#This Row],[Último]]/B293)-1</f>
        <v>3.1516183986371349E-2</v>
      </c>
    </row>
    <row r="295" spans="1:3" x14ac:dyDescent="0.25">
      <c r="A295" s="1">
        <v>44623</v>
      </c>
      <c r="B295" s="2">
        <v>2371</v>
      </c>
      <c r="C295" s="3">
        <f>+(NVDA_data[[#This Row],[Último]]/B294)-1</f>
        <v>-2.1056977704376534E-2</v>
      </c>
    </row>
    <row r="296" spans="1:3" x14ac:dyDescent="0.25">
      <c r="A296" s="1">
        <v>44624</v>
      </c>
      <c r="B296" s="2">
        <v>2294</v>
      </c>
      <c r="C296" s="3">
        <f>+(NVDA_data[[#This Row],[Último]]/B295)-1</f>
        <v>-3.2475748629270385E-2</v>
      </c>
    </row>
    <row r="297" spans="1:3" x14ac:dyDescent="0.25">
      <c r="A297" s="1">
        <v>44627</v>
      </c>
      <c r="B297" s="2">
        <v>2135</v>
      </c>
      <c r="C297" s="3">
        <f>+(NVDA_data[[#This Row],[Último]]/B296)-1</f>
        <v>-6.9311246730601517E-2</v>
      </c>
    </row>
    <row r="298" spans="1:3" x14ac:dyDescent="0.25">
      <c r="A298" s="1">
        <v>44628</v>
      </c>
      <c r="B298" s="2">
        <v>2151</v>
      </c>
      <c r="C298" s="3">
        <f>+(NVDA_data[[#This Row],[Último]]/B297)-1</f>
        <v>7.494145199063329E-3</v>
      </c>
    </row>
    <row r="299" spans="1:3" x14ac:dyDescent="0.25">
      <c r="A299" s="1">
        <v>44629</v>
      </c>
      <c r="B299" s="2">
        <v>2301</v>
      </c>
      <c r="C299" s="3">
        <f>+(NVDA_data[[#This Row],[Último]]/B298)-1</f>
        <v>6.9735006973500768E-2</v>
      </c>
    </row>
    <row r="300" spans="1:3" x14ac:dyDescent="0.25">
      <c r="A300" s="1">
        <v>44630</v>
      </c>
      <c r="B300" s="2">
        <v>2266</v>
      </c>
      <c r="C300" s="3">
        <f>+(NVDA_data[[#This Row],[Último]]/B299)-1</f>
        <v>-1.521077792264236E-2</v>
      </c>
    </row>
    <row r="301" spans="1:3" x14ac:dyDescent="0.25">
      <c r="A301" s="1">
        <v>44631</v>
      </c>
      <c r="B301" s="2">
        <v>2210</v>
      </c>
      <c r="C301" s="3">
        <f>+(NVDA_data[[#This Row],[Último]]/B300)-1</f>
        <v>-2.4713150926743199E-2</v>
      </c>
    </row>
    <row r="302" spans="1:3" x14ac:dyDescent="0.25">
      <c r="A302" s="1">
        <v>44634</v>
      </c>
      <c r="B302" s="2">
        <v>2133</v>
      </c>
      <c r="C302" s="3">
        <f>+(NVDA_data[[#This Row],[Último]]/B301)-1</f>
        <v>-3.4841628959276005E-2</v>
      </c>
    </row>
    <row r="303" spans="1:3" x14ac:dyDescent="0.25">
      <c r="A303" s="1">
        <v>44635</v>
      </c>
      <c r="B303" s="2">
        <v>2297</v>
      </c>
      <c r="C303" s="3">
        <f>+(NVDA_data[[#This Row],[Último]]/B302)-1</f>
        <v>7.6887013595874354E-2</v>
      </c>
    </row>
    <row r="304" spans="1:3" x14ac:dyDescent="0.25">
      <c r="A304" s="1">
        <v>44636</v>
      </c>
      <c r="B304" s="2">
        <v>2450</v>
      </c>
      <c r="C304" s="3">
        <f>+(NVDA_data[[#This Row],[Último]]/B303)-1</f>
        <v>6.6608619939050984E-2</v>
      </c>
    </row>
    <row r="305" spans="1:3" x14ac:dyDescent="0.25">
      <c r="A305" s="1">
        <v>44637</v>
      </c>
      <c r="B305" s="2">
        <v>2477</v>
      </c>
      <c r="C305" s="3">
        <f>+(NVDA_data[[#This Row],[Último]]/B304)-1</f>
        <v>1.1020408163265216E-2</v>
      </c>
    </row>
    <row r="306" spans="1:3" x14ac:dyDescent="0.25">
      <c r="A306" s="1">
        <v>44638</v>
      </c>
      <c r="B306" s="2">
        <v>2645</v>
      </c>
      <c r="C306" s="3">
        <f>+(NVDA_data[[#This Row],[Último]]/B305)-1</f>
        <v>6.7823980621719793E-2</v>
      </c>
    </row>
    <row r="307" spans="1:3" x14ac:dyDescent="0.25">
      <c r="A307" s="1">
        <v>44641</v>
      </c>
      <c r="B307" s="2">
        <v>2673</v>
      </c>
      <c r="C307" s="3">
        <f>+(NVDA_data[[#This Row],[Último]]/B306)-1</f>
        <v>1.0586011342154977E-2</v>
      </c>
    </row>
    <row r="308" spans="1:3" x14ac:dyDescent="0.25">
      <c r="A308" s="1">
        <v>44642</v>
      </c>
      <c r="B308" s="2">
        <v>2652</v>
      </c>
      <c r="C308" s="3">
        <f>+(NVDA_data[[#This Row],[Último]]/B307)-1</f>
        <v>-7.8563411896744872E-3</v>
      </c>
    </row>
    <row r="309" spans="1:3" x14ac:dyDescent="0.25">
      <c r="A309" s="1">
        <v>44643</v>
      </c>
      <c r="B309" s="2">
        <v>2563</v>
      </c>
      <c r="C309" s="3">
        <f>+(NVDA_data[[#This Row],[Último]]/B308)-1</f>
        <v>-3.3559577677224728E-2</v>
      </c>
    </row>
    <row r="310" spans="1:3" x14ac:dyDescent="0.25">
      <c r="A310" s="1">
        <v>44644</v>
      </c>
      <c r="B310" s="2">
        <v>2815</v>
      </c>
      <c r="C310" s="3">
        <f>+(NVDA_data[[#This Row],[Último]]/B309)-1</f>
        <v>9.8322278579789257E-2</v>
      </c>
    </row>
    <row r="311" spans="1:3" x14ac:dyDescent="0.25">
      <c r="A311" s="1">
        <v>44645</v>
      </c>
      <c r="B311" s="2">
        <v>2769</v>
      </c>
      <c r="C311" s="3">
        <f>+(NVDA_data[[#This Row],[Último]]/B310)-1</f>
        <v>-1.6341030195381911E-2</v>
      </c>
    </row>
    <row r="312" spans="1:3" x14ac:dyDescent="0.25">
      <c r="A312" s="1">
        <v>44648</v>
      </c>
      <c r="B312" s="2">
        <v>2822</v>
      </c>
      <c r="C312" s="3">
        <f>+(NVDA_data[[#This Row],[Último]]/B311)-1</f>
        <v>1.9140483929216412E-2</v>
      </c>
    </row>
    <row r="313" spans="1:3" x14ac:dyDescent="0.25">
      <c r="A313" s="1">
        <v>44649</v>
      </c>
      <c r="B313" s="2">
        <v>2866</v>
      </c>
      <c r="C313" s="3">
        <f>+(NVDA_data[[#This Row],[Último]]/B312)-1</f>
        <v>1.5591778880226892E-2</v>
      </c>
    </row>
    <row r="314" spans="1:3" x14ac:dyDescent="0.25">
      <c r="A314" s="1">
        <v>44650</v>
      </c>
      <c r="B314" s="2">
        <v>2769</v>
      </c>
      <c r="C314" s="3">
        <f>+(NVDA_data[[#This Row],[Último]]/B313)-1</f>
        <v>-3.3845080251221238E-2</v>
      </c>
    </row>
    <row r="315" spans="1:3" x14ac:dyDescent="0.25">
      <c r="A315" s="1">
        <v>44651</v>
      </c>
      <c r="B315" s="2">
        <v>2729</v>
      </c>
      <c r="C315" s="3">
        <f>+(NVDA_data[[#This Row],[Último]]/B314)-1</f>
        <v>-1.444564824846517E-2</v>
      </c>
    </row>
    <row r="316" spans="1:3" x14ac:dyDescent="0.25">
      <c r="A316" s="1">
        <v>44652</v>
      </c>
      <c r="B316" s="2">
        <v>2671</v>
      </c>
      <c r="C316" s="3">
        <f>+(NVDA_data[[#This Row],[Último]]/B315)-1</f>
        <v>-2.1253206302675021E-2</v>
      </c>
    </row>
    <row r="317" spans="1:3" x14ac:dyDescent="0.25">
      <c r="A317" s="1">
        <v>44655</v>
      </c>
      <c r="B317" s="2">
        <v>2736</v>
      </c>
      <c r="C317" s="3">
        <f>+(NVDA_data[[#This Row],[Último]]/B316)-1</f>
        <v>2.433545488581057E-2</v>
      </c>
    </row>
    <row r="318" spans="1:3" x14ac:dyDescent="0.25">
      <c r="A318" s="1">
        <v>44656</v>
      </c>
      <c r="B318" s="2">
        <v>2593</v>
      </c>
      <c r="C318" s="3">
        <f>+(NVDA_data[[#This Row],[Último]]/B317)-1</f>
        <v>-5.2266081871345071E-2</v>
      </c>
    </row>
    <row r="319" spans="1:3" x14ac:dyDescent="0.25">
      <c r="A319" s="1">
        <v>44657</v>
      </c>
      <c r="B319" s="2">
        <v>2441</v>
      </c>
      <c r="C319" s="3">
        <f>+(NVDA_data[[#This Row],[Último]]/B318)-1</f>
        <v>-5.8619359814886196E-2</v>
      </c>
    </row>
    <row r="320" spans="1:3" x14ac:dyDescent="0.25">
      <c r="A320" s="1">
        <v>44658</v>
      </c>
      <c r="B320" s="2">
        <v>2421</v>
      </c>
      <c r="C320" s="3">
        <f>+(NVDA_data[[#This Row],[Último]]/B319)-1</f>
        <v>-8.1933633756656743E-3</v>
      </c>
    </row>
    <row r="321" spans="1:3" x14ac:dyDescent="0.25">
      <c r="A321" s="1">
        <v>44659</v>
      </c>
      <c r="B321" s="2">
        <v>2312</v>
      </c>
      <c r="C321" s="3">
        <f>+(NVDA_data[[#This Row],[Último]]/B320)-1</f>
        <v>-4.5022717885171426E-2</v>
      </c>
    </row>
    <row r="322" spans="1:3" x14ac:dyDescent="0.25">
      <c r="A322" s="1">
        <v>44662</v>
      </c>
      <c r="B322" s="2">
        <v>2192</v>
      </c>
      <c r="C322" s="3">
        <f>+(NVDA_data[[#This Row],[Último]]/B321)-1</f>
        <v>-5.1903114186851229E-2</v>
      </c>
    </row>
    <row r="323" spans="1:3" x14ac:dyDescent="0.25">
      <c r="A323" s="1">
        <v>44663</v>
      </c>
      <c r="B323" s="2">
        <v>2150</v>
      </c>
      <c r="C323" s="3">
        <f>+(NVDA_data[[#This Row],[Último]]/B322)-1</f>
        <v>-1.9160583941605802E-2</v>
      </c>
    </row>
    <row r="324" spans="1:3" x14ac:dyDescent="0.25">
      <c r="A324" s="1">
        <v>44664</v>
      </c>
      <c r="B324" s="2">
        <v>2220</v>
      </c>
      <c r="C324" s="3">
        <f>+(NVDA_data[[#This Row],[Último]]/B323)-1</f>
        <v>3.2558139534883734E-2</v>
      </c>
    </row>
    <row r="325" spans="1:3" x14ac:dyDescent="0.25">
      <c r="A325" s="1">
        <v>44665</v>
      </c>
      <c r="B325" s="2">
        <v>2126</v>
      </c>
      <c r="C325" s="3">
        <f>+(NVDA_data[[#This Row],[Último]]/B324)-1</f>
        <v>-4.2342342342342354E-2</v>
      </c>
    </row>
    <row r="326" spans="1:3" x14ac:dyDescent="0.25">
      <c r="A326" s="1">
        <v>44669</v>
      </c>
      <c r="B326" s="2">
        <v>2178</v>
      </c>
      <c r="C326" s="3">
        <f>+(NVDA_data[[#This Row],[Último]]/B325)-1</f>
        <v>2.4459078080903085E-2</v>
      </c>
    </row>
    <row r="327" spans="1:3" x14ac:dyDescent="0.25">
      <c r="A327" s="1">
        <v>44670</v>
      </c>
      <c r="B327" s="2">
        <v>2220</v>
      </c>
      <c r="C327" s="3">
        <f>+(NVDA_data[[#This Row],[Último]]/B326)-1</f>
        <v>1.9283746556473913E-2</v>
      </c>
    </row>
    <row r="328" spans="1:3" x14ac:dyDescent="0.25">
      <c r="A328" s="1">
        <v>44671</v>
      </c>
      <c r="B328" s="2">
        <v>2148</v>
      </c>
      <c r="C328" s="3">
        <f>+(NVDA_data[[#This Row],[Último]]/B327)-1</f>
        <v>-3.2432432432432434E-2</v>
      </c>
    </row>
    <row r="329" spans="1:3" x14ac:dyDescent="0.25">
      <c r="A329" s="1">
        <v>44672</v>
      </c>
      <c r="B329" s="2">
        <v>2018</v>
      </c>
      <c r="C329" s="3">
        <f>+(NVDA_data[[#This Row],[Último]]/B328)-1</f>
        <v>-6.0521415270018641E-2</v>
      </c>
    </row>
    <row r="330" spans="1:3" x14ac:dyDescent="0.25">
      <c r="A330" s="1">
        <v>44673</v>
      </c>
      <c r="B330" s="2">
        <v>1952</v>
      </c>
      <c r="C330" s="3">
        <f>+(NVDA_data[[#This Row],[Último]]/B329)-1</f>
        <v>-3.2705649157581784E-2</v>
      </c>
    </row>
    <row r="331" spans="1:3" x14ac:dyDescent="0.25">
      <c r="A331" s="1">
        <v>44676</v>
      </c>
      <c r="B331" s="2">
        <v>1990</v>
      </c>
      <c r="C331" s="3">
        <f>+(NVDA_data[[#This Row],[Último]]/B330)-1</f>
        <v>1.9467213114754189E-2</v>
      </c>
    </row>
    <row r="332" spans="1:3" x14ac:dyDescent="0.25">
      <c r="A332" s="1">
        <v>44677</v>
      </c>
      <c r="B332" s="2">
        <v>1879</v>
      </c>
      <c r="C332" s="3">
        <f>+(NVDA_data[[#This Row],[Último]]/B331)-1</f>
        <v>-5.577889447236184E-2</v>
      </c>
    </row>
    <row r="333" spans="1:3" x14ac:dyDescent="0.25">
      <c r="A333" s="1">
        <v>44678</v>
      </c>
      <c r="B333" s="2">
        <v>1841</v>
      </c>
      <c r="C333" s="3">
        <f>+(NVDA_data[[#This Row],[Último]]/B332)-1</f>
        <v>-2.0223523150612044E-2</v>
      </c>
    </row>
    <row r="334" spans="1:3" x14ac:dyDescent="0.25">
      <c r="A334" s="1">
        <v>44679</v>
      </c>
      <c r="B334" s="2">
        <v>1978</v>
      </c>
      <c r="C334" s="3">
        <f>+(NVDA_data[[#This Row],[Último]]/B333)-1</f>
        <v>7.4416078218359605E-2</v>
      </c>
    </row>
    <row r="335" spans="1:3" x14ac:dyDescent="0.25">
      <c r="A335" s="1">
        <v>44680</v>
      </c>
      <c r="B335" s="2">
        <v>1855</v>
      </c>
      <c r="C335" s="3">
        <f>+(NVDA_data[[#This Row],[Último]]/B334)-1</f>
        <v>-6.2184024266936255E-2</v>
      </c>
    </row>
    <row r="336" spans="1:3" x14ac:dyDescent="0.25">
      <c r="A336" s="1">
        <v>44683</v>
      </c>
      <c r="B336" s="2">
        <v>1953</v>
      </c>
      <c r="C336" s="3">
        <f>+(NVDA_data[[#This Row],[Último]]/B335)-1</f>
        <v>5.2830188679245271E-2</v>
      </c>
    </row>
    <row r="337" spans="1:3" x14ac:dyDescent="0.25">
      <c r="A337" s="1">
        <v>44684</v>
      </c>
      <c r="B337" s="2">
        <v>1960</v>
      </c>
      <c r="C337" s="3">
        <f>+(NVDA_data[[#This Row],[Último]]/B336)-1</f>
        <v>3.5842293906809264E-3</v>
      </c>
    </row>
    <row r="338" spans="1:3" x14ac:dyDescent="0.25">
      <c r="A338" s="1">
        <v>44685</v>
      </c>
      <c r="B338" s="2">
        <v>2033</v>
      </c>
      <c r="C338" s="3">
        <f>+(NVDA_data[[#This Row],[Último]]/B337)-1</f>
        <v>3.7244897959183731E-2</v>
      </c>
    </row>
    <row r="339" spans="1:3" x14ac:dyDescent="0.25">
      <c r="A339" s="1">
        <v>44686</v>
      </c>
      <c r="B339" s="2">
        <v>1884</v>
      </c>
      <c r="C339" s="3">
        <f>+(NVDA_data[[#This Row],[Último]]/B338)-1</f>
        <v>-7.3290703393999013E-2</v>
      </c>
    </row>
    <row r="340" spans="1:3" x14ac:dyDescent="0.25">
      <c r="A340" s="1">
        <v>44687</v>
      </c>
      <c r="B340" s="2">
        <v>1868</v>
      </c>
      <c r="C340" s="3">
        <f>+(NVDA_data[[#This Row],[Último]]/B339)-1</f>
        <v>-8.4925690021231404E-3</v>
      </c>
    </row>
    <row r="341" spans="1:3" x14ac:dyDescent="0.25">
      <c r="A341" s="1">
        <v>44690</v>
      </c>
      <c r="B341" s="2">
        <v>1695</v>
      </c>
      <c r="C341" s="3">
        <f>+(NVDA_data[[#This Row],[Último]]/B340)-1</f>
        <v>-9.2612419700214166E-2</v>
      </c>
    </row>
    <row r="342" spans="1:3" x14ac:dyDescent="0.25">
      <c r="A342" s="1">
        <v>44691</v>
      </c>
      <c r="B342" s="2">
        <v>1759</v>
      </c>
      <c r="C342" s="3">
        <f>+(NVDA_data[[#This Row],[Último]]/B341)-1</f>
        <v>3.775811209439528E-2</v>
      </c>
    </row>
    <row r="343" spans="1:3" x14ac:dyDescent="0.25">
      <c r="A343" s="1">
        <v>44692</v>
      </c>
      <c r="B343" s="2">
        <v>1663</v>
      </c>
      <c r="C343" s="3">
        <f>+(NVDA_data[[#This Row],[Último]]/B342)-1</f>
        <v>-5.4576463899943195E-2</v>
      </c>
    </row>
    <row r="344" spans="1:3" x14ac:dyDescent="0.25">
      <c r="A344" s="1">
        <v>44693</v>
      </c>
      <c r="B344" s="2">
        <v>1618</v>
      </c>
      <c r="C344" s="3">
        <f>+(NVDA_data[[#This Row],[Último]]/B343)-1</f>
        <v>-2.7059530968129852E-2</v>
      </c>
    </row>
    <row r="345" spans="1:3" x14ac:dyDescent="0.25">
      <c r="A345" s="1">
        <v>44694</v>
      </c>
      <c r="B345" s="2">
        <v>1771</v>
      </c>
      <c r="C345" s="3">
        <f>+(NVDA_data[[#This Row],[Último]]/B344)-1</f>
        <v>9.4561186650185425E-2</v>
      </c>
    </row>
    <row r="346" spans="1:3" x14ac:dyDescent="0.25">
      <c r="A346" s="1">
        <v>44697</v>
      </c>
      <c r="B346" s="2">
        <v>1726</v>
      </c>
      <c r="C346" s="3">
        <f>+(NVDA_data[[#This Row],[Último]]/B345)-1</f>
        <v>-2.540937323546022E-2</v>
      </c>
    </row>
    <row r="347" spans="1:3" x14ac:dyDescent="0.25">
      <c r="A347" s="1">
        <v>44698</v>
      </c>
      <c r="B347" s="2">
        <v>1818</v>
      </c>
      <c r="C347" s="3">
        <f>+(NVDA_data[[#This Row],[Último]]/B346)-1</f>
        <v>5.330243337195828E-2</v>
      </c>
    </row>
    <row r="348" spans="1:3" x14ac:dyDescent="0.25">
      <c r="A348" s="1">
        <v>44699</v>
      </c>
      <c r="B348" s="2">
        <v>1694</v>
      </c>
      <c r="C348" s="3">
        <f>+(NVDA_data[[#This Row],[Último]]/B347)-1</f>
        <v>-6.8206820682068181E-2</v>
      </c>
    </row>
    <row r="349" spans="1:3" x14ac:dyDescent="0.25">
      <c r="A349" s="1">
        <v>44700</v>
      </c>
      <c r="B349" s="2">
        <v>1712</v>
      </c>
      <c r="C349" s="3">
        <f>+(NVDA_data[[#This Row],[Último]]/B348)-1</f>
        <v>1.0625737898465104E-2</v>
      </c>
    </row>
    <row r="350" spans="1:3" x14ac:dyDescent="0.25">
      <c r="A350" s="1">
        <v>44701</v>
      </c>
      <c r="B350" s="2">
        <v>1669</v>
      </c>
      <c r="C350" s="3">
        <f>+(NVDA_data[[#This Row],[Último]]/B349)-1</f>
        <v>-2.5116822429906538E-2</v>
      </c>
    </row>
    <row r="351" spans="1:3" x14ac:dyDescent="0.25">
      <c r="A351" s="1">
        <v>44704</v>
      </c>
      <c r="B351" s="2">
        <v>1690</v>
      </c>
      <c r="C351" s="3">
        <f>+(NVDA_data[[#This Row],[Último]]/B350)-1</f>
        <v>1.2582384661473878E-2</v>
      </c>
    </row>
    <row r="352" spans="1:3" x14ac:dyDescent="0.25">
      <c r="A352" s="1">
        <v>44705</v>
      </c>
      <c r="B352" s="2">
        <v>1615</v>
      </c>
      <c r="C352" s="3">
        <f>+(NVDA_data[[#This Row],[Último]]/B351)-1</f>
        <v>-4.4378698224852076E-2</v>
      </c>
    </row>
    <row r="353" spans="1:3" x14ac:dyDescent="0.25">
      <c r="A353" s="1">
        <v>44706</v>
      </c>
      <c r="B353" s="2">
        <v>1698</v>
      </c>
      <c r="C353" s="3">
        <f>+(NVDA_data[[#This Row],[Último]]/B352)-1</f>
        <v>5.139318885448918E-2</v>
      </c>
    </row>
    <row r="354" spans="1:3" x14ac:dyDescent="0.25">
      <c r="A354" s="1">
        <v>44707</v>
      </c>
      <c r="B354" s="2">
        <v>1785</v>
      </c>
      <c r="C354" s="3">
        <f>+(NVDA_data[[#This Row],[Último]]/B353)-1</f>
        <v>5.1236749116607694E-2</v>
      </c>
    </row>
    <row r="355" spans="1:3" x14ac:dyDescent="0.25">
      <c r="A355" s="1">
        <v>44708</v>
      </c>
      <c r="B355" s="2">
        <v>1881</v>
      </c>
      <c r="C355" s="3">
        <f>+(NVDA_data[[#This Row],[Último]]/B354)-1</f>
        <v>5.3781512605042048E-2</v>
      </c>
    </row>
    <row r="356" spans="1:3" x14ac:dyDescent="0.25">
      <c r="A356" s="1">
        <v>44712</v>
      </c>
      <c r="B356" s="2">
        <v>1867</v>
      </c>
      <c r="C356" s="3">
        <f>+(NVDA_data[[#This Row],[Último]]/B355)-1</f>
        <v>-7.4428495481126955E-3</v>
      </c>
    </row>
    <row r="357" spans="1:3" x14ac:dyDescent="0.25">
      <c r="A357" s="1">
        <v>44713</v>
      </c>
      <c r="B357" s="2">
        <v>1832</v>
      </c>
      <c r="C357" s="3">
        <f>+(NVDA_data[[#This Row],[Último]]/B356)-1</f>
        <v>-1.8746652383502926E-2</v>
      </c>
    </row>
    <row r="358" spans="1:3" x14ac:dyDescent="0.25">
      <c r="A358" s="1">
        <v>44714</v>
      </c>
      <c r="B358" s="2">
        <v>1959</v>
      </c>
      <c r="C358" s="3">
        <f>+(NVDA_data[[#This Row],[Último]]/B357)-1</f>
        <v>6.9323144104803447E-2</v>
      </c>
    </row>
    <row r="359" spans="1:3" x14ac:dyDescent="0.25">
      <c r="A359" s="1">
        <v>44715</v>
      </c>
      <c r="B359" s="2">
        <v>1872</v>
      </c>
      <c r="C359" s="3">
        <f>+(NVDA_data[[#This Row],[Último]]/B358)-1</f>
        <v>-4.44104134762634E-2</v>
      </c>
    </row>
    <row r="360" spans="1:3" x14ac:dyDescent="0.25">
      <c r="A360" s="1">
        <v>44718</v>
      </c>
      <c r="B360" s="2">
        <v>1879</v>
      </c>
      <c r="C360" s="3">
        <f>+(NVDA_data[[#This Row],[Último]]/B359)-1</f>
        <v>3.739316239316226E-3</v>
      </c>
    </row>
    <row r="361" spans="1:3" x14ac:dyDescent="0.25">
      <c r="A361" s="1">
        <v>44719</v>
      </c>
      <c r="B361" s="2">
        <v>1893</v>
      </c>
      <c r="C361" s="3">
        <f>+(NVDA_data[[#This Row],[Último]]/B360)-1</f>
        <v>7.4507716870675367E-3</v>
      </c>
    </row>
    <row r="362" spans="1:3" x14ac:dyDescent="0.25">
      <c r="A362" s="1">
        <v>44720</v>
      </c>
      <c r="B362" s="2">
        <v>1865</v>
      </c>
      <c r="C362" s="3">
        <f>+(NVDA_data[[#This Row],[Último]]/B361)-1</f>
        <v>-1.4791336502905428E-2</v>
      </c>
    </row>
    <row r="363" spans="1:3" x14ac:dyDescent="0.25">
      <c r="A363" s="1">
        <v>44721</v>
      </c>
      <c r="B363" s="2">
        <v>1805</v>
      </c>
      <c r="C363" s="3">
        <f>+(NVDA_data[[#This Row],[Último]]/B362)-1</f>
        <v>-3.2171581769437019E-2</v>
      </c>
    </row>
    <row r="364" spans="1:3" x14ac:dyDescent="0.25">
      <c r="A364" s="1">
        <v>44722</v>
      </c>
      <c r="B364" s="2">
        <v>1697</v>
      </c>
      <c r="C364" s="3">
        <f>+(NVDA_data[[#This Row],[Último]]/B363)-1</f>
        <v>-5.9833795013850444E-2</v>
      </c>
    </row>
    <row r="365" spans="1:3" x14ac:dyDescent="0.25">
      <c r="A365" s="1">
        <v>44725</v>
      </c>
      <c r="B365" s="2">
        <v>1565</v>
      </c>
      <c r="C365" s="3">
        <f>+(NVDA_data[[#This Row],[Último]]/B364)-1</f>
        <v>-7.7784325279905753E-2</v>
      </c>
    </row>
    <row r="366" spans="1:3" x14ac:dyDescent="0.25">
      <c r="A366" s="1">
        <v>44726</v>
      </c>
      <c r="B366" s="2">
        <v>1584</v>
      </c>
      <c r="C366" s="3">
        <f>+(NVDA_data[[#This Row],[Último]]/B365)-1</f>
        <v>1.2140575079872207E-2</v>
      </c>
    </row>
    <row r="367" spans="1:3" x14ac:dyDescent="0.25">
      <c r="A367" s="1">
        <v>44727</v>
      </c>
      <c r="B367" s="2">
        <v>1653</v>
      </c>
      <c r="C367" s="3">
        <f>+(NVDA_data[[#This Row],[Último]]/B366)-1</f>
        <v>4.3560606060605966E-2</v>
      </c>
    </row>
    <row r="368" spans="1:3" x14ac:dyDescent="0.25">
      <c r="A368" s="1">
        <v>44728</v>
      </c>
      <c r="B368" s="2">
        <v>1560</v>
      </c>
      <c r="C368" s="3">
        <f>+(NVDA_data[[#This Row],[Último]]/B367)-1</f>
        <v>-5.6261343012704135E-2</v>
      </c>
    </row>
    <row r="369" spans="1:3" x14ac:dyDescent="0.25">
      <c r="A369" s="1">
        <v>44729</v>
      </c>
      <c r="B369" s="2">
        <v>1588</v>
      </c>
      <c r="C369" s="3">
        <f>+(NVDA_data[[#This Row],[Último]]/B368)-1</f>
        <v>1.7948717948717885E-2</v>
      </c>
    </row>
    <row r="370" spans="1:3" x14ac:dyDescent="0.25">
      <c r="A370" s="1">
        <v>44733</v>
      </c>
      <c r="B370" s="2">
        <v>1657</v>
      </c>
      <c r="C370" s="3">
        <f>+(NVDA_data[[#This Row],[Último]]/B369)-1</f>
        <v>4.3450881612090653E-2</v>
      </c>
    </row>
    <row r="371" spans="1:3" x14ac:dyDescent="0.25">
      <c r="A371" s="1">
        <v>44734</v>
      </c>
      <c r="B371" s="2">
        <v>1636</v>
      </c>
      <c r="C371" s="3">
        <f>+(NVDA_data[[#This Row],[Último]]/B370)-1</f>
        <v>-1.2673506336753126E-2</v>
      </c>
    </row>
    <row r="372" spans="1:3" x14ac:dyDescent="0.25">
      <c r="A372" s="1">
        <v>44735</v>
      </c>
      <c r="B372" s="2">
        <v>1623</v>
      </c>
      <c r="C372" s="3">
        <f>+(NVDA_data[[#This Row],[Último]]/B371)-1</f>
        <v>-7.9462102689487057E-3</v>
      </c>
    </row>
    <row r="373" spans="1:3" x14ac:dyDescent="0.25">
      <c r="A373" s="1">
        <v>44736</v>
      </c>
      <c r="B373" s="2">
        <v>1713</v>
      </c>
      <c r="C373" s="3">
        <f>+(NVDA_data[[#This Row],[Último]]/B372)-1</f>
        <v>5.5452865064695045E-2</v>
      </c>
    </row>
    <row r="374" spans="1:3" x14ac:dyDescent="0.25">
      <c r="A374" s="1">
        <v>44739</v>
      </c>
      <c r="B374" s="2">
        <v>1687</v>
      </c>
      <c r="C374" s="3">
        <f>+(NVDA_data[[#This Row],[Último]]/B373)-1</f>
        <v>-1.5178050204319948E-2</v>
      </c>
    </row>
    <row r="375" spans="1:3" x14ac:dyDescent="0.25">
      <c r="A375" s="1">
        <v>44740</v>
      </c>
      <c r="B375" s="2">
        <v>1598</v>
      </c>
      <c r="C375" s="3">
        <f>+(NVDA_data[[#This Row],[Último]]/B374)-1</f>
        <v>-5.2756372258446982E-2</v>
      </c>
    </row>
    <row r="376" spans="1:3" x14ac:dyDescent="0.25">
      <c r="A376" s="1">
        <v>44741</v>
      </c>
      <c r="B376" s="2">
        <v>1554</v>
      </c>
      <c r="C376" s="3">
        <f>+(NVDA_data[[#This Row],[Último]]/B375)-1</f>
        <v>-2.7534418022528206E-2</v>
      </c>
    </row>
    <row r="377" spans="1:3" x14ac:dyDescent="0.25">
      <c r="A377" s="1">
        <v>44742</v>
      </c>
      <c r="B377" s="2">
        <v>1516</v>
      </c>
      <c r="C377" s="3">
        <f>+(NVDA_data[[#This Row],[Último]]/B376)-1</f>
        <v>-2.4453024453024441E-2</v>
      </c>
    </row>
    <row r="378" spans="1:3" x14ac:dyDescent="0.25">
      <c r="A378" s="1">
        <v>44743</v>
      </c>
      <c r="B378" s="2">
        <v>1452</v>
      </c>
      <c r="C378" s="3">
        <f>+(NVDA_data[[#This Row],[Último]]/B377)-1</f>
        <v>-4.2216358839050172E-2</v>
      </c>
    </row>
    <row r="379" spans="1:3" x14ac:dyDescent="0.25">
      <c r="A379" s="1">
        <v>44747</v>
      </c>
      <c r="B379" s="2">
        <v>1496</v>
      </c>
      <c r="C379" s="3">
        <f>+(NVDA_data[[#This Row],[Último]]/B378)-1</f>
        <v>3.0303030303030276E-2</v>
      </c>
    </row>
    <row r="380" spans="1:3" x14ac:dyDescent="0.25">
      <c r="A380" s="1">
        <v>44748</v>
      </c>
      <c r="B380" s="2">
        <v>1513</v>
      </c>
      <c r="C380" s="3">
        <f>+(NVDA_data[[#This Row],[Último]]/B379)-1</f>
        <v>1.1363636363636465E-2</v>
      </c>
    </row>
    <row r="381" spans="1:3" x14ac:dyDescent="0.25">
      <c r="A381" s="1">
        <v>44749</v>
      </c>
      <c r="B381" s="2">
        <v>1586</v>
      </c>
      <c r="C381" s="3">
        <f>+(NVDA_data[[#This Row],[Último]]/B380)-1</f>
        <v>4.8248512888301454E-2</v>
      </c>
    </row>
    <row r="382" spans="1:3" x14ac:dyDescent="0.25">
      <c r="A382" s="1">
        <v>44750</v>
      </c>
      <c r="B382" s="2">
        <v>1584</v>
      </c>
      <c r="C382" s="3">
        <f>+(NVDA_data[[#This Row],[Último]]/B381)-1</f>
        <v>-1.2610340479193294E-3</v>
      </c>
    </row>
    <row r="383" spans="1:3" x14ac:dyDescent="0.25">
      <c r="A383" s="1">
        <v>44753</v>
      </c>
      <c r="B383" s="2">
        <v>1515</v>
      </c>
      <c r="C383" s="3">
        <f>+(NVDA_data[[#This Row],[Último]]/B382)-1</f>
        <v>-4.3560606060606077E-2</v>
      </c>
    </row>
    <row r="384" spans="1:3" x14ac:dyDescent="0.25">
      <c r="A384" s="1">
        <v>44754</v>
      </c>
      <c r="B384" s="2">
        <v>1508</v>
      </c>
      <c r="C384" s="3">
        <f>+(NVDA_data[[#This Row],[Último]]/B383)-1</f>
        <v>-4.6204620462045876E-3</v>
      </c>
    </row>
    <row r="385" spans="1:3" x14ac:dyDescent="0.25">
      <c r="A385" s="1">
        <v>44755</v>
      </c>
      <c r="B385" s="2">
        <v>1516</v>
      </c>
      <c r="C385" s="3">
        <f>+(NVDA_data[[#This Row],[Último]]/B384)-1</f>
        <v>5.3050397877985045E-3</v>
      </c>
    </row>
    <row r="386" spans="1:3" x14ac:dyDescent="0.25">
      <c r="A386" s="1">
        <v>44756</v>
      </c>
      <c r="B386" s="2">
        <v>1537</v>
      </c>
      <c r="C386" s="3">
        <f>+(NVDA_data[[#This Row],[Último]]/B385)-1</f>
        <v>1.385224274406327E-2</v>
      </c>
    </row>
    <row r="387" spans="1:3" x14ac:dyDescent="0.25">
      <c r="A387" s="1">
        <v>44757</v>
      </c>
      <c r="B387" s="2">
        <v>1576</v>
      </c>
      <c r="C387" s="3">
        <f>+(NVDA_data[[#This Row],[Último]]/B386)-1</f>
        <v>2.5374105400130187E-2</v>
      </c>
    </row>
    <row r="388" spans="1:3" x14ac:dyDescent="0.25">
      <c r="A388" s="1">
        <v>44760</v>
      </c>
      <c r="B388" s="2">
        <v>1610</v>
      </c>
      <c r="C388" s="3">
        <f>+(NVDA_data[[#This Row],[Último]]/B387)-1</f>
        <v>2.1573604060913798E-2</v>
      </c>
    </row>
    <row r="389" spans="1:3" x14ac:dyDescent="0.25">
      <c r="A389" s="1">
        <v>44761</v>
      </c>
      <c r="B389" s="2">
        <v>1699</v>
      </c>
      <c r="C389" s="3">
        <f>+(NVDA_data[[#This Row],[Último]]/B388)-1</f>
        <v>5.5279503105590155E-2</v>
      </c>
    </row>
    <row r="390" spans="1:3" x14ac:dyDescent="0.25">
      <c r="A390" s="1">
        <v>44762</v>
      </c>
      <c r="B390" s="2">
        <v>1781</v>
      </c>
      <c r="C390" s="3">
        <f>+(NVDA_data[[#This Row],[Último]]/B389)-1</f>
        <v>4.826368452030616E-2</v>
      </c>
    </row>
    <row r="391" spans="1:3" x14ac:dyDescent="0.25">
      <c r="A391" s="1">
        <v>44763</v>
      </c>
      <c r="B391" s="2">
        <v>1805</v>
      </c>
      <c r="C391" s="3">
        <f>+(NVDA_data[[#This Row],[Último]]/B390)-1</f>
        <v>1.3475575519371175E-2</v>
      </c>
    </row>
    <row r="392" spans="1:3" x14ac:dyDescent="0.25">
      <c r="A392" s="1">
        <v>44764</v>
      </c>
      <c r="B392" s="2">
        <v>1732</v>
      </c>
      <c r="C392" s="3">
        <f>+(NVDA_data[[#This Row],[Último]]/B391)-1</f>
        <v>-4.0443213296398883E-2</v>
      </c>
    </row>
    <row r="393" spans="1:3" x14ac:dyDescent="0.25">
      <c r="A393" s="1">
        <v>44767</v>
      </c>
      <c r="B393" s="2">
        <v>1702</v>
      </c>
      <c r="C393" s="3">
        <f>+(NVDA_data[[#This Row],[Último]]/B392)-1</f>
        <v>-1.7321016166281789E-2</v>
      </c>
    </row>
    <row r="394" spans="1:3" x14ac:dyDescent="0.25">
      <c r="A394" s="1">
        <v>44768</v>
      </c>
      <c r="B394" s="2">
        <v>1653</v>
      </c>
      <c r="C394" s="3">
        <f>+(NVDA_data[[#This Row],[Último]]/B393)-1</f>
        <v>-2.8789659224441877E-2</v>
      </c>
    </row>
    <row r="395" spans="1:3" x14ac:dyDescent="0.25">
      <c r="A395" s="1">
        <v>44769</v>
      </c>
      <c r="B395" s="2">
        <v>1779</v>
      </c>
      <c r="C395" s="3">
        <f>+(NVDA_data[[#This Row],[Último]]/B394)-1</f>
        <v>7.622504537205077E-2</v>
      </c>
    </row>
    <row r="396" spans="1:3" x14ac:dyDescent="0.25">
      <c r="A396" s="1">
        <v>44770</v>
      </c>
      <c r="B396" s="2">
        <v>1798</v>
      </c>
      <c r="C396" s="3">
        <f>+(NVDA_data[[#This Row],[Último]]/B395)-1</f>
        <v>1.0680157391793177E-2</v>
      </c>
    </row>
    <row r="397" spans="1:3" x14ac:dyDescent="0.25">
      <c r="A397" s="1">
        <v>44771</v>
      </c>
      <c r="B397" s="2">
        <v>1816</v>
      </c>
      <c r="C397" s="3">
        <f>+(NVDA_data[[#This Row],[Último]]/B396)-1</f>
        <v>1.0011123470522909E-2</v>
      </c>
    </row>
    <row r="398" spans="1:3" x14ac:dyDescent="0.25">
      <c r="A398" s="1">
        <v>44774</v>
      </c>
      <c r="B398" s="2">
        <v>1844</v>
      </c>
      <c r="C398" s="3">
        <f>+(NVDA_data[[#This Row],[Último]]/B397)-1</f>
        <v>1.5418502202643181E-2</v>
      </c>
    </row>
    <row r="399" spans="1:3" x14ac:dyDescent="0.25">
      <c r="A399" s="1">
        <v>44775</v>
      </c>
      <c r="B399" s="2">
        <v>1853</v>
      </c>
      <c r="C399" s="3">
        <f>+(NVDA_data[[#This Row],[Último]]/B398)-1</f>
        <v>4.8806941431669415E-3</v>
      </c>
    </row>
    <row r="400" spans="1:3" x14ac:dyDescent="0.25">
      <c r="A400" s="1">
        <v>44776</v>
      </c>
      <c r="B400" s="2">
        <v>1889</v>
      </c>
      <c r="C400" s="3">
        <f>+(NVDA_data[[#This Row],[Último]]/B399)-1</f>
        <v>1.9427954668105762E-2</v>
      </c>
    </row>
    <row r="401" spans="1:3" x14ac:dyDescent="0.25">
      <c r="A401" s="1">
        <v>44777</v>
      </c>
      <c r="B401" s="2">
        <v>1922</v>
      </c>
      <c r="C401" s="3">
        <f>+(NVDA_data[[#This Row],[Último]]/B400)-1</f>
        <v>1.7469560614081558E-2</v>
      </c>
    </row>
    <row r="402" spans="1:3" x14ac:dyDescent="0.25">
      <c r="A402" s="1">
        <v>44778</v>
      </c>
      <c r="B402" s="2">
        <v>1899</v>
      </c>
      <c r="C402" s="3">
        <f>+(NVDA_data[[#This Row],[Último]]/B401)-1</f>
        <v>-1.1966701352757569E-2</v>
      </c>
    </row>
    <row r="403" spans="1:3" x14ac:dyDescent="0.25">
      <c r="A403" s="1">
        <v>44781</v>
      </c>
      <c r="B403" s="2">
        <v>1779</v>
      </c>
      <c r="C403" s="3">
        <f>+(NVDA_data[[#This Row],[Último]]/B402)-1</f>
        <v>-6.3191153238546627E-2</v>
      </c>
    </row>
    <row r="404" spans="1:3" x14ac:dyDescent="0.25">
      <c r="A404" s="1">
        <v>44782</v>
      </c>
      <c r="B404" s="2">
        <v>1709</v>
      </c>
      <c r="C404" s="3">
        <f>+(NVDA_data[[#This Row],[Último]]/B403)-1</f>
        <v>-3.9347948285553658E-2</v>
      </c>
    </row>
    <row r="405" spans="1:3" x14ac:dyDescent="0.25">
      <c r="A405" s="1">
        <v>44783</v>
      </c>
      <c r="B405" s="2">
        <v>1810</v>
      </c>
      <c r="C405" s="3">
        <f>+(NVDA_data[[#This Row],[Último]]/B404)-1</f>
        <v>5.9098888238736214E-2</v>
      </c>
    </row>
    <row r="406" spans="1:3" x14ac:dyDescent="0.25">
      <c r="A406" s="1">
        <v>44784</v>
      </c>
      <c r="B406" s="2">
        <v>1794</v>
      </c>
      <c r="C406" s="3">
        <f>+(NVDA_data[[#This Row],[Último]]/B405)-1</f>
        <v>-8.8397790055249059E-3</v>
      </c>
    </row>
    <row r="407" spans="1:3" x14ac:dyDescent="0.25">
      <c r="A407" s="1">
        <v>44785</v>
      </c>
      <c r="B407" s="2">
        <v>1871</v>
      </c>
      <c r="C407" s="3">
        <f>+(NVDA_data[[#This Row],[Último]]/B406)-1</f>
        <v>4.292084726867329E-2</v>
      </c>
    </row>
    <row r="408" spans="1:3" x14ac:dyDescent="0.25">
      <c r="A408" s="1">
        <v>44788</v>
      </c>
      <c r="B408" s="2">
        <v>1903</v>
      </c>
      <c r="C408" s="3">
        <f>+(NVDA_data[[#This Row],[Último]]/B407)-1</f>
        <v>1.7103153393907E-2</v>
      </c>
    </row>
    <row r="409" spans="1:3" x14ac:dyDescent="0.25">
      <c r="A409" s="1">
        <v>44789</v>
      </c>
      <c r="B409" s="2">
        <v>1888</v>
      </c>
      <c r="C409" s="3">
        <f>+(NVDA_data[[#This Row],[Último]]/B408)-1</f>
        <v>-7.8822911192852896E-3</v>
      </c>
    </row>
    <row r="410" spans="1:3" x14ac:dyDescent="0.25">
      <c r="A410" s="1">
        <v>44790</v>
      </c>
      <c r="B410" s="2">
        <v>1833</v>
      </c>
      <c r="C410" s="3">
        <f>+(NVDA_data[[#This Row],[Último]]/B409)-1</f>
        <v>-2.9131355932203395E-2</v>
      </c>
    </row>
    <row r="411" spans="1:3" x14ac:dyDescent="0.25">
      <c r="A411" s="1">
        <v>44791</v>
      </c>
      <c r="B411" s="2">
        <v>1877</v>
      </c>
      <c r="C411" s="3">
        <f>+(NVDA_data[[#This Row],[Último]]/B410)-1</f>
        <v>2.4004364429896397E-2</v>
      </c>
    </row>
    <row r="412" spans="1:3" x14ac:dyDescent="0.25">
      <c r="A412" s="1">
        <v>44792</v>
      </c>
      <c r="B412" s="2">
        <v>1785</v>
      </c>
      <c r="C412" s="3">
        <f>+(NVDA_data[[#This Row],[Último]]/B411)-1</f>
        <v>-4.9014384656366539E-2</v>
      </c>
    </row>
    <row r="413" spans="1:3" x14ac:dyDescent="0.25">
      <c r="A413" s="1">
        <v>44795</v>
      </c>
      <c r="B413" s="2">
        <v>1703</v>
      </c>
      <c r="C413" s="3">
        <f>+(NVDA_data[[#This Row],[Último]]/B412)-1</f>
        <v>-4.5938375350140004E-2</v>
      </c>
    </row>
    <row r="414" spans="1:3" x14ac:dyDescent="0.25">
      <c r="A414" s="1">
        <v>44796</v>
      </c>
      <c r="B414" s="2">
        <v>1718</v>
      </c>
      <c r="C414" s="3">
        <f>+(NVDA_data[[#This Row],[Último]]/B413)-1</f>
        <v>8.8079859072225375E-3</v>
      </c>
    </row>
    <row r="415" spans="1:3" x14ac:dyDescent="0.25">
      <c r="A415" s="1">
        <v>44797</v>
      </c>
      <c r="B415" s="2">
        <v>1722</v>
      </c>
      <c r="C415" s="3">
        <f>+(NVDA_data[[#This Row],[Último]]/B414)-1</f>
        <v>2.3282887077997749E-3</v>
      </c>
    </row>
    <row r="416" spans="1:3" x14ac:dyDescent="0.25">
      <c r="A416" s="1">
        <v>44798</v>
      </c>
      <c r="B416" s="2">
        <v>1791</v>
      </c>
      <c r="C416" s="3">
        <f>+(NVDA_data[[#This Row],[Último]]/B415)-1</f>
        <v>4.006968641114983E-2</v>
      </c>
    </row>
    <row r="417" spans="1:3" x14ac:dyDescent="0.25">
      <c r="A417" s="1">
        <v>44799</v>
      </c>
      <c r="B417" s="2">
        <v>1626</v>
      </c>
      <c r="C417" s="3">
        <f>+(NVDA_data[[#This Row],[Último]]/B416)-1</f>
        <v>-9.2127303182579556E-2</v>
      </c>
    </row>
    <row r="418" spans="1:3" x14ac:dyDescent="0.25">
      <c r="A418" s="1">
        <v>44802</v>
      </c>
      <c r="B418" s="2">
        <v>1580</v>
      </c>
      <c r="C418" s="3">
        <f>+(NVDA_data[[#This Row],[Último]]/B417)-1</f>
        <v>-2.8290282902828978E-2</v>
      </c>
    </row>
    <row r="419" spans="1:3" x14ac:dyDescent="0.25">
      <c r="A419" s="1">
        <v>44803</v>
      </c>
      <c r="B419" s="2">
        <v>1547</v>
      </c>
      <c r="C419" s="3">
        <f>+(NVDA_data[[#This Row],[Último]]/B418)-1</f>
        <v>-2.0886075949367089E-2</v>
      </c>
    </row>
    <row r="420" spans="1:3" x14ac:dyDescent="0.25">
      <c r="A420" s="1">
        <v>44804</v>
      </c>
      <c r="B420" s="2">
        <v>1509</v>
      </c>
      <c r="C420" s="3">
        <f>+(NVDA_data[[#This Row],[Último]]/B419)-1</f>
        <v>-2.4563671622495176E-2</v>
      </c>
    </row>
    <row r="421" spans="1:3" x14ac:dyDescent="0.25">
      <c r="A421" s="1">
        <v>44805</v>
      </c>
      <c r="B421" s="2">
        <v>1394</v>
      </c>
      <c r="C421" s="3">
        <f>+(NVDA_data[[#This Row],[Último]]/B420)-1</f>
        <v>-7.6209410205434036E-2</v>
      </c>
    </row>
    <row r="422" spans="1:3" x14ac:dyDescent="0.25">
      <c r="A422" s="1">
        <v>44806</v>
      </c>
      <c r="B422" s="2">
        <v>1365</v>
      </c>
      <c r="C422" s="3">
        <f>+(NVDA_data[[#This Row],[Último]]/B421)-1</f>
        <v>-2.0803443328550886E-2</v>
      </c>
    </row>
    <row r="423" spans="1:3" x14ac:dyDescent="0.25">
      <c r="A423" s="1">
        <v>44810</v>
      </c>
      <c r="B423" s="2">
        <v>1347</v>
      </c>
      <c r="C423" s="3">
        <f>+(NVDA_data[[#This Row],[Último]]/B422)-1</f>
        <v>-1.318681318681314E-2</v>
      </c>
    </row>
    <row r="424" spans="1:3" x14ac:dyDescent="0.25">
      <c r="A424" s="1">
        <v>44811</v>
      </c>
      <c r="B424" s="2">
        <v>1371</v>
      </c>
      <c r="C424" s="3">
        <f>+(NVDA_data[[#This Row],[Último]]/B423)-1</f>
        <v>1.7817371937639104E-2</v>
      </c>
    </row>
    <row r="425" spans="1:3" x14ac:dyDescent="0.25">
      <c r="A425" s="1">
        <v>44812</v>
      </c>
      <c r="B425" s="2">
        <v>1399</v>
      </c>
      <c r="C425" s="3">
        <f>+(NVDA_data[[#This Row],[Último]]/B424)-1</f>
        <v>2.0423048869438354E-2</v>
      </c>
    </row>
    <row r="426" spans="1:3" x14ac:dyDescent="0.25">
      <c r="A426" s="1">
        <v>44813</v>
      </c>
      <c r="B426" s="2">
        <v>1439</v>
      </c>
      <c r="C426" s="3">
        <f>+(NVDA_data[[#This Row],[Último]]/B425)-1</f>
        <v>2.8591851322373074E-2</v>
      </c>
    </row>
    <row r="427" spans="1:3" x14ac:dyDescent="0.25">
      <c r="A427" s="1">
        <v>44816</v>
      </c>
      <c r="B427" s="2">
        <v>1451</v>
      </c>
      <c r="C427" s="3">
        <f>+(NVDA_data[[#This Row],[Último]]/B426)-1</f>
        <v>8.3391243919388458E-3</v>
      </c>
    </row>
    <row r="428" spans="1:3" x14ac:dyDescent="0.25">
      <c r="A428" s="1">
        <v>44817</v>
      </c>
      <c r="B428" s="2">
        <v>1313</v>
      </c>
      <c r="C428" s="3">
        <f>+(NVDA_data[[#This Row],[Último]]/B427)-1</f>
        <v>-9.510682288077188E-2</v>
      </c>
    </row>
    <row r="429" spans="1:3" x14ac:dyDescent="0.25">
      <c r="A429" s="1">
        <v>44818</v>
      </c>
      <c r="B429" s="2">
        <v>1313</v>
      </c>
      <c r="C429" s="3">
        <f>+(NVDA_data[[#This Row],[Último]]/B428)-1</f>
        <v>0</v>
      </c>
    </row>
    <row r="430" spans="1:3" x14ac:dyDescent="0.25">
      <c r="A430" s="1">
        <v>44819</v>
      </c>
      <c r="B430" s="2">
        <v>1293</v>
      </c>
      <c r="C430" s="3">
        <f>+(NVDA_data[[#This Row],[Último]]/B429)-1</f>
        <v>-1.5232292460015229E-2</v>
      </c>
    </row>
    <row r="431" spans="1:3" x14ac:dyDescent="0.25">
      <c r="A431" s="1">
        <v>44820</v>
      </c>
      <c r="B431" s="2">
        <v>1320</v>
      </c>
      <c r="C431" s="3">
        <f>+(NVDA_data[[#This Row],[Último]]/B430)-1</f>
        <v>2.088167053364276E-2</v>
      </c>
    </row>
    <row r="432" spans="1:3" x14ac:dyDescent="0.25">
      <c r="A432" s="1">
        <v>44823</v>
      </c>
      <c r="B432" s="2">
        <v>1338</v>
      </c>
      <c r="C432" s="3">
        <f>+(NVDA_data[[#This Row],[Último]]/B431)-1</f>
        <v>1.3636363636363669E-2</v>
      </c>
    </row>
    <row r="433" spans="1:3" x14ac:dyDescent="0.25">
      <c r="A433" s="1">
        <v>44824</v>
      </c>
      <c r="B433" s="2">
        <v>1318</v>
      </c>
      <c r="C433" s="3">
        <f>+(NVDA_data[[#This Row],[Último]]/B432)-1</f>
        <v>-1.4947683109118093E-2</v>
      </c>
    </row>
    <row r="434" spans="1:3" x14ac:dyDescent="0.25">
      <c r="A434" s="1">
        <v>44825</v>
      </c>
      <c r="B434" s="2">
        <v>1326</v>
      </c>
      <c r="C434" s="3">
        <f>+(NVDA_data[[#This Row],[Último]]/B433)-1</f>
        <v>6.0698027314112224E-3</v>
      </c>
    </row>
    <row r="435" spans="1:3" x14ac:dyDescent="0.25">
      <c r="A435" s="1">
        <v>44826</v>
      </c>
      <c r="B435" s="2">
        <v>1256</v>
      </c>
      <c r="C435" s="3">
        <f>+(NVDA_data[[#This Row],[Último]]/B434)-1</f>
        <v>-5.2790346907994001E-2</v>
      </c>
    </row>
    <row r="436" spans="1:3" x14ac:dyDescent="0.25">
      <c r="A436" s="1">
        <v>44827</v>
      </c>
      <c r="B436" s="2">
        <v>1252</v>
      </c>
      <c r="C436" s="3">
        <f>+(NVDA_data[[#This Row],[Último]]/B435)-1</f>
        <v>-3.1847133757961776E-3</v>
      </c>
    </row>
    <row r="437" spans="1:3" x14ac:dyDescent="0.25">
      <c r="A437" s="1">
        <v>44830</v>
      </c>
      <c r="B437" s="2">
        <v>1223</v>
      </c>
      <c r="C437" s="3">
        <f>+(NVDA_data[[#This Row],[Último]]/B436)-1</f>
        <v>-2.3162939297124652E-2</v>
      </c>
    </row>
    <row r="438" spans="1:3" x14ac:dyDescent="0.25">
      <c r="A438" s="1">
        <v>44831</v>
      </c>
      <c r="B438" s="2">
        <v>1241</v>
      </c>
      <c r="C438" s="3">
        <f>+(NVDA_data[[#This Row],[Último]]/B437)-1</f>
        <v>1.4717906786590351E-2</v>
      </c>
    </row>
    <row r="439" spans="1:3" x14ac:dyDescent="0.25">
      <c r="A439" s="1">
        <v>44832</v>
      </c>
      <c r="B439" s="2">
        <v>1274</v>
      </c>
      <c r="C439" s="3">
        <f>+(NVDA_data[[#This Row],[Último]]/B438)-1</f>
        <v>2.6591458501208809E-2</v>
      </c>
    </row>
    <row r="440" spans="1:3" x14ac:dyDescent="0.25">
      <c r="A440" s="1">
        <v>44833</v>
      </c>
      <c r="B440" s="2">
        <v>1222</v>
      </c>
      <c r="C440" s="3">
        <f>+(NVDA_data[[#This Row],[Último]]/B439)-1</f>
        <v>-4.081632653061229E-2</v>
      </c>
    </row>
    <row r="441" spans="1:3" x14ac:dyDescent="0.25">
      <c r="A441" s="1">
        <v>44834</v>
      </c>
      <c r="B441" s="2">
        <v>1214</v>
      </c>
      <c r="C441" s="3">
        <f>+(NVDA_data[[#This Row],[Último]]/B440)-1</f>
        <v>-6.5466448445171688E-3</v>
      </c>
    </row>
    <row r="442" spans="1:3" x14ac:dyDescent="0.25">
      <c r="A442" s="1">
        <v>44837</v>
      </c>
      <c r="B442" s="2">
        <v>1251</v>
      </c>
      <c r="C442" s="3">
        <f>+(NVDA_data[[#This Row],[Último]]/B441)-1</f>
        <v>3.0477759472817167E-2</v>
      </c>
    </row>
    <row r="443" spans="1:3" x14ac:dyDescent="0.25">
      <c r="A443" s="1">
        <v>44838</v>
      </c>
      <c r="B443" s="2">
        <v>1317</v>
      </c>
      <c r="C443" s="3">
        <f>+(NVDA_data[[#This Row],[Último]]/B442)-1</f>
        <v>5.2757793764987904E-2</v>
      </c>
    </row>
    <row r="444" spans="1:3" x14ac:dyDescent="0.25">
      <c r="A444" s="1">
        <v>44839</v>
      </c>
      <c r="B444" s="2">
        <v>1321</v>
      </c>
      <c r="C444" s="3">
        <f>+(NVDA_data[[#This Row],[Último]]/B443)-1</f>
        <v>3.0372057706908873E-3</v>
      </c>
    </row>
    <row r="445" spans="1:3" x14ac:dyDescent="0.25">
      <c r="A445" s="1">
        <v>44840</v>
      </c>
      <c r="B445" s="2">
        <v>1313</v>
      </c>
      <c r="C445" s="3">
        <f>+(NVDA_data[[#This Row],[Último]]/B444)-1</f>
        <v>-6.0560181680544556E-3</v>
      </c>
    </row>
    <row r="446" spans="1:3" x14ac:dyDescent="0.25">
      <c r="A446" s="1">
        <v>44841</v>
      </c>
      <c r="B446" s="2">
        <v>1208</v>
      </c>
      <c r="C446" s="3">
        <f>+(NVDA_data[[#This Row],[Último]]/B445)-1</f>
        <v>-7.9969535415080006E-2</v>
      </c>
    </row>
    <row r="447" spans="1:3" x14ac:dyDescent="0.25">
      <c r="A447" s="1">
        <v>44844</v>
      </c>
      <c r="B447" s="2">
        <v>1167</v>
      </c>
      <c r="C447" s="3">
        <f>+(NVDA_data[[#This Row],[Último]]/B446)-1</f>
        <v>-3.3940397350993412E-2</v>
      </c>
    </row>
    <row r="448" spans="1:3" x14ac:dyDescent="0.25">
      <c r="A448" s="1">
        <v>44845</v>
      </c>
      <c r="B448" s="2">
        <v>1159</v>
      </c>
      <c r="C448" s="3">
        <f>+(NVDA_data[[#This Row],[Último]]/B447)-1</f>
        <v>-6.8551842330762947E-3</v>
      </c>
    </row>
    <row r="449" spans="1:3" x14ac:dyDescent="0.25">
      <c r="A449" s="1">
        <v>44846</v>
      </c>
      <c r="B449" s="2">
        <v>1150</v>
      </c>
      <c r="C449" s="3">
        <f>+(NVDA_data[[#This Row],[Último]]/B448)-1</f>
        <v>-7.7653149266608823E-3</v>
      </c>
    </row>
    <row r="450" spans="1:3" x14ac:dyDescent="0.25">
      <c r="A450" s="1">
        <v>44847</v>
      </c>
      <c r="B450" s="2">
        <v>1196</v>
      </c>
      <c r="C450" s="3">
        <f>+(NVDA_data[[#This Row],[Último]]/B449)-1</f>
        <v>4.0000000000000036E-2</v>
      </c>
    </row>
    <row r="451" spans="1:3" x14ac:dyDescent="0.25">
      <c r="A451" s="1">
        <v>44848</v>
      </c>
      <c r="B451" s="2">
        <v>1123</v>
      </c>
      <c r="C451" s="3">
        <f>+(NVDA_data[[#This Row],[Último]]/B450)-1</f>
        <v>-6.1036789297658878E-2</v>
      </c>
    </row>
    <row r="452" spans="1:3" x14ac:dyDescent="0.25">
      <c r="A452" s="1">
        <v>44851</v>
      </c>
      <c r="B452" s="2">
        <v>1189</v>
      </c>
      <c r="C452" s="3">
        <f>+(NVDA_data[[#This Row],[Último]]/B451)-1</f>
        <v>5.8771148708815613E-2</v>
      </c>
    </row>
    <row r="453" spans="1:3" x14ac:dyDescent="0.25">
      <c r="A453" s="1">
        <v>44852</v>
      </c>
      <c r="B453" s="2">
        <v>1197</v>
      </c>
      <c r="C453" s="3">
        <f>+(NVDA_data[[#This Row],[Último]]/B452)-1</f>
        <v>6.728343145500526E-3</v>
      </c>
    </row>
    <row r="454" spans="1:3" x14ac:dyDescent="0.25">
      <c r="A454" s="1">
        <v>44853</v>
      </c>
      <c r="B454" s="2">
        <v>1205</v>
      </c>
      <c r="C454" s="3">
        <f>+(NVDA_data[[#This Row],[Último]]/B453)-1</f>
        <v>6.6833751044277356E-3</v>
      </c>
    </row>
    <row r="455" spans="1:3" x14ac:dyDescent="0.25">
      <c r="A455" s="1">
        <v>44854</v>
      </c>
      <c r="B455" s="2">
        <v>1219</v>
      </c>
      <c r="C455" s="3">
        <f>+(NVDA_data[[#This Row],[Último]]/B454)-1</f>
        <v>1.1618257261410747E-2</v>
      </c>
    </row>
    <row r="456" spans="1:3" x14ac:dyDescent="0.25">
      <c r="A456" s="1">
        <v>44855</v>
      </c>
      <c r="B456" s="2">
        <v>1247</v>
      </c>
      <c r="C456" s="3">
        <f>+(NVDA_data[[#This Row],[Último]]/B455)-1</f>
        <v>2.2969647251845693E-2</v>
      </c>
    </row>
    <row r="457" spans="1:3" x14ac:dyDescent="0.25">
      <c r="A457" s="1">
        <v>44858</v>
      </c>
      <c r="B457" s="2">
        <v>1260</v>
      </c>
      <c r="C457" s="3">
        <f>+(NVDA_data[[#This Row],[Último]]/B456)-1</f>
        <v>1.0425020048115519E-2</v>
      </c>
    </row>
    <row r="458" spans="1:3" x14ac:dyDescent="0.25">
      <c r="A458" s="1">
        <v>44859</v>
      </c>
      <c r="B458" s="2">
        <v>1326</v>
      </c>
      <c r="C458" s="3">
        <f>+(NVDA_data[[#This Row],[Último]]/B457)-1</f>
        <v>5.2380952380952417E-2</v>
      </c>
    </row>
    <row r="459" spans="1:3" x14ac:dyDescent="0.25">
      <c r="A459" s="1">
        <v>44860</v>
      </c>
      <c r="B459" s="2">
        <v>1290</v>
      </c>
      <c r="C459" s="3">
        <f>+(NVDA_data[[#This Row],[Último]]/B458)-1</f>
        <v>-2.714932126696834E-2</v>
      </c>
    </row>
    <row r="460" spans="1:3" x14ac:dyDescent="0.25">
      <c r="A460" s="1">
        <v>44861</v>
      </c>
      <c r="B460" s="2">
        <v>1318</v>
      </c>
      <c r="C460" s="3">
        <f>+(NVDA_data[[#This Row],[Último]]/B459)-1</f>
        <v>2.170542635658923E-2</v>
      </c>
    </row>
    <row r="461" spans="1:3" x14ac:dyDescent="0.25">
      <c r="A461" s="1">
        <v>44862</v>
      </c>
      <c r="B461" s="2">
        <v>1383</v>
      </c>
      <c r="C461" s="3">
        <f>+(NVDA_data[[#This Row],[Último]]/B460)-1</f>
        <v>4.9317147192716293E-2</v>
      </c>
    </row>
    <row r="462" spans="1:3" x14ac:dyDescent="0.25">
      <c r="A462" s="1">
        <v>44865</v>
      </c>
      <c r="B462" s="2">
        <v>1350</v>
      </c>
      <c r="C462" s="3">
        <f>+(NVDA_data[[#This Row],[Último]]/B461)-1</f>
        <v>-2.386117136659438E-2</v>
      </c>
    </row>
    <row r="463" spans="1:3" x14ac:dyDescent="0.25">
      <c r="A463" s="1">
        <v>44866</v>
      </c>
      <c r="B463" s="2">
        <v>1354</v>
      </c>
      <c r="C463" s="3">
        <f>+(NVDA_data[[#This Row],[Último]]/B462)-1</f>
        <v>2.9629629629630561E-3</v>
      </c>
    </row>
    <row r="464" spans="1:3" x14ac:dyDescent="0.25">
      <c r="A464" s="1">
        <v>44867</v>
      </c>
      <c r="B464" s="2">
        <v>1322</v>
      </c>
      <c r="C464" s="3">
        <f>+(NVDA_data[[#This Row],[Último]]/B463)-1</f>
        <v>-2.3633677991137358E-2</v>
      </c>
    </row>
    <row r="465" spans="1:3" x14ac:dyDescent="0.25">
      <c r="A465" s="1">
        <v>44868</v>
      </c>
      <c r="B465" s="2">
        <v>1342</v>
      </c>
      <c r="C465" s="3">
        <f>+(NVDA_data[[#This Row],[Último]]/B464)-1</f>
        <v>1.5128593040847127E-2</v>
      </c>
    </row>
    <row r="466" spans="1:3" x14ac:dyDescent="0.25">
      <c r="A466" s="1">
        <v>44869</v>
      </c>
      <c r="B466" s="2">
        <v>1416</v>
      </c>
      <c r="C466" s="3">
        <f>+(NVDA_data[[#This Row],[Último]]/B465)-1</f>
        <v>5.5141579731743606E-2</v>
      </c>
    </row>
    <row r="467" spans="1:3" x14ac:dyDescent="0.25">
      <c r="A467" s="1">
        <v>44872</v>
      </c>
      <c r="B467" s="2">
        <v>1430</v>
      </c>
      <c r="C467" s="3">
        <f>+(NVDA_data[[#This Row],[Último]]/B466)-1</f>
        <v>9.8870056497175618E-3</v>
      </c>
    </row>
    <row r="468" spans="1:3" x14ac:dyDescent="0.25">
      <c r="A468" s="1">
        <v>44873</v>
      </c>
      <c r="B468" s="2">
        <v>1460</v>
      </c>
      <c r="C468" s="3">
        <f>+(NVDA_data[[#This Row],[Último]]/B467)-1</f>
        <v>2.0979020979021046E-2</v>
      </c>
    </row>
    <row r="469" spans="1:3" x14ac:dyDescent="0.25">
      <c r="A469" s="1">
        <v>44874</v>
      </c>
      <c r="B469" s="2">
        <v>1378</v>
      </c>
      <c r="C469" s="3">
        <f>+(NVDA_data[[#This Row],[Último]]/B468)-1</f>
        <v>-5.6164383561643882E-2</v>
      </c>
    </row>
    <row r="470" spans="1:3" x14ac:dyDescent="0.25">
      <c r="A470" s="1">
        <v>44875</v>
      </c>
      <c r="B470" s="2">
        <v>1575</v>
      </c>
      <c r="C470" s="3">
        <f>+(NVDA_data[[#This Row],[Último]]/B469)-1</f>
        <v>0.14296081277213357</v>
      </c>
    </row>
    <row r="471" spans="1:3" x14ac:dyDescent="0.25">
      <c r="A471" s="1">
        <v>44876</v>
      </c>
      <c r="B471" s="2">
        <v>1633</v>
      </c>
      <c r="C471" s="3">
        <f>+(NVDA_data[[#This Row],[Último]]/B470)-1</f>
        <v>3.6825396825396872E-2</v>
      </c>
    </row>
    <row r="472" spans="1:3" x14ac:dyDescent="0.25">
      <c r="A472" s="1">
        <v>44879</v>
      </c>
      <c r="B472" s="2">
        <v>1630</v>
      </c>
      <c r="C472" s="3">
        <f>+(NVDA_data[[#This Row],[Último]]/B471)-1</f>
        <v>-1.837109614207022E-3</v>
      </c>
    </row>
    <row r="473" spans="1:3" x14ac:dyDescent="0.25">
      <c r="A473" s="1">
        <v>44880</v>
      </c>
      <c r="B473" s="2">
        <v>1667</v>
      </c>
      <c r="C473" s="3">
        <f>+(NVDA_data[[#This Row],[Último]]/B472)-1</f>
        <v>2.2699386503067576E-2</v>
      </c>
    </row>
    <row r="474" spans="1:3" x14ac:dyDescent="0.25">
      <c r="A474" s="1">
        <v>44881</v>
      </c>
      <c r="B474" s="2">
        <v>1591</v>
      </c>
      <c r="C474" s="3">
        <f>+(NVDA_data[[#This Row],[Último]]/B473)-1</f>
        <v>-4.5590881823635243E-2</v>
      </c>
    </row>
    <row r="475" spans="1:3" x14ac:dyDescent="0.25">
      <c r="A475" s="1">
        <v>44882</v>
      </c>
      <c r="B475" s="2">
        <v>1568</v>
      </c>
      <c r="C475" s="3">
        <f>+(NVDA_data[[#This Row],[Último]]/B474)-1</f>
        <v>-1.4456316781898182E-2</v>
      </c>
    </row>
    <row r="476" spans="1:3" x14ac:dyDescent="0.25">
      <c r="A476" s="1">
        <v>44883</v>
      </c>
      <c r="B476" s="2">
        <v>1541</v>
      </c>
      <c r="C476" s="3">
        <f>+(NVDA_data[[#This Row],[Último]]/B475)-1</f>
        <v>-1.7219387755102011E-2</v>
      </c>
    </row>
    <row r="477" spans="1:3" x14ac:dyDescent="0.25">
      <c r="A477" s="1">
        <v>44886</v>
      </c>
      <c r="B477" s="2">
        <v>1532</v>
      </c>
      <c r="C477" s="3">
        <f>+(NVDA_data[[#This Row],[Último]]/B476)-1</f>
        <v>-5.8403634003894034E-3</v>
      </c>
    </row>
    <row r="478" spans="1:3" x14ac:dyDescent="0.25">
      <c r="A478" s="1">
        <v>44887</v>
      </c>
      <c r="B478" s="2">
        <v>1604</v>
      </c>
      <c r="C478" s="3">
        <f>+(NVDA_data[[#This Row],[Último]]/B477)-1</f>
        <v>4.6997389033942572E-2</v>
      </c>
    </row>
    <row r="479" spans="1:3" x14ac:dyDescent="0.25">
      <c r="A479" s="1">
        <v>44888</v>
      </c>
      <c r="B479" s="2">
        <v>1652</v>
      </c>
      <c r="C479" s="3">
        <f>+(NVDA_data[[#This Row],[Último]]/B478)-1</f>
        <v>2.9925187032418865E-2</v>
      </c>
    </row>
    <row r="480" spans="1:3" x14ac:dyDescent="0.25">
      <c r="A480" s="1">
        <v>44890</v>
      </c>
      <c r="B480" s="2">
        <v>1627</v>
      </c>
      <c r="C480" s="3">
        <f>+(NVDA_data[[#This Row],[Último]]/B479)-1</f>
        <v>-1.5133171912832921E-2</v>
      </c>
    </row>
    <row r="481" spans="1:3" x14ac:dyDescent="0.25">
      <c r="A481" s="1">
        <v>44893</v>
      </c>
      <c r="B481" s="2">
        <v>1583</v>
      </c>
      <c r="C481" s="3">
        <f>+(NVDA_data[[#This Row],[Último]]/B480)-1</f>
        <v>-2.7043638598647779E-2</v>
      </c>
    </row>
    <row r="482" spans="1:3" x14ac:dyDescent="0.25">
      <c r="A482" s="1">
        <v>44894</v>
      </c>
      <c r="B482" s="2">
        <v>1564</v>
      </c>
      <c r="C482" s="3">
        <f>+(NVDA_data[[#This Row],[Último]]/B481)-1</f>
        <v>-1.2002526847757378E-2</v>
      </c>
    </row>
    <row r="483" spans="1:3" x14ac:dyDescent="0.25">
      <c r="A483" s="1">
        <v>44895</v>
      </c>
      <c r="B483" s="2">
        <v>1692</v>
      </c>
      <c r="C483" s="3">
        <f>+(NVDA_data[[#This Row],[Último]]/B482)-1</f>
        <v>8.1841432225064015E-2</v>
      </c>
    </row>
    <row r="484" spans="1:3" x14ac:dyDescent="0.25">
      <c r="A484" s="1">
        <v>44896</v>
      </c>
      <c r="B484" s="2">
        <v>1714</v>
      </c>
      <c r="C484" s="3">
        <f>+(NVDA_data[[#This Row],[Último]]/B483)-1</f>
        <v>1.3002364066193817E-2</v>
      </c>
    </row>
    <row r="485" spans="1:3" x14ac:dyDescent="0.25">
      <c r="A485" s="1">
        <v>44897</v>
      </c>
      <c r="B485" s="2">
        <v>1688</v>
      </c>
      <c r="C485" s="3">
        <f>+(NVDA_data[[#This Row],[Último]]/B484)-1</f>
        <v>-1.516919486581092E-2</v>
      </c>
    </row>
    <row r="486" spans="1:3" x14ac:dyDescent="0.25">
      <c r="A486" s="1">
        <v>44900</v>
      </c>
      <c r="B486" s="2">
        <v>1661</v>
      </c>
      <c r="C486" s="3">
        <f>+(NVDA_data[[#This Row],[Último]]/B485)-1</f>
        <v>-1.5995260663507094E-2</v>
      </c>
    </row>
    <row r="487" spans="1:3" x14ac:dyDescent="0.25">
      <c r="A487" s="1">
        <v>44901</v>
      </c>
      <c r="B487" s="2">
        <v>1599</v>
      </c>
      <c r="C487" s="3">
        <f>+(NVDA_data[[#This Row],[Último]]/B486)-1</f>
        <v>-3.7326911499096949E-2</v>
      </c>
    </row>
    <row r="488" spans="1:3" x14ac:dyDescent="0.25">
      <c r="A488" s="1">
        <v>44902</v>
      </c>
      <c r="B488" s="2">
        <v>1612</v>
      </c>
      <c r="C488" s="3">
        <f>+(NVDA_data[[#This Row],[Último]]/B487)-1</f>
        <v>8.1300813008129413E-3</v>
      </c>
    </row>
    <row r="489" spans="1:3" x14ac:dyDescent="0.25">
      <c r="A489" s="1">
        <v>44903</v>
      </c>
      <c r="B489" s="2">
        <v>1717</v>
      </c>
      <c r="C489" s="3">
        <f>+(NVDA_data[[#This Row],[Último]]/B488)-1</f>
        <v>6.5136476426798984E-2</v>
      </c>
    </row>
    <row r="490" spans="1:3" x14ac:dyDescent="0.25">
      <c r="A490" s="1">
        <v>44904</v>
      </c>
      <c r="B490" s="2">
        <v>1700</v>
      </c>
      <c r="C490" s="3">
        <f>+(NVDA_data[[#This Row],[Último]]/B489)-1</f>
        <v>-9.9009900990099098E-3</v>
      </c>
    </row>
    <row r="491" spans="1:3" x14ac:dyDescent="0.25">
      <c r="A491" s="1">
        <v>44907</v>
      </c>
      <c r="B491" s="2">
        <v>1753</v>
      </c>
      <c r="C491" s="3">
        <f>+(NVDA_data[[#This Row],[Último]]/B490)-1</f>
        <v>3.1176470588235361E-2</v>
      </c>
    </row>
    <row r="492" spans="1:3" x14ac:dyDescent="0.25">
      <c r="A492" s="1">
        <v>44908</v>
      </c>
      <c r="B492" s="2">
        <v>1807</v>
      </c>
      <c r="C492" s="3">
        <f>+(NVDA_data[[#This Row],[Último]]/B491)-1</f>
        <v>3.080433542498584E-2</v>
      </c>
    </row>
    <row r="493" spans="1:3" x14ac:dyDescent="0.25">
      <c r="A493" s="1">
        <v>44909</v>
      </c>
      <c r="B493" s="2">
        <v>1767</v>
      </c>
      <c r="C493" s="3">
        <f>+(NVDA_data[[#This Row],[Último]]/B492)-1</f>
        <v>-2.2136137244050946E-2</v>
      </c>
    </row>
    <row r="494" spans="1:3" x14ac:dyDescent="0.25">
      <c r="A494" s="1">
        <v>44910</v>
      </c>
      <c r="B494" s="2">
        <v>1695</v>
      </c>
      <c r="C494" s="3">
        <f>+(NVDA_data[[#This Row],[Último]]/B493)-1</f>
        <v>-4.0747028862478829E-2</v>
      </c>
    </row>
    <row r="495" spans="1:3" x14ac:dyDescent="0.25">
      <c r="A495" s="1">
        <v>44911</v>
      </c>
      <c r="B495" s="2">
        <v>1657</v>
      </c>
      <c r="C495" s="3">
        <f>+(NVDA_data[[#This Row],[Último]]/B494)-1</f>
        <v>-2.2418879056047225E-2</v>
      </c>
    </row>
    <row r="496" spans="1:3" x14ac:dyDescent="0.25">
      <c r="A496" s="1">
        <v>44914</v>
      </c>
      <c r="B496" s="2">
        <v>1625</v>
      </c>
      <c r="C496" s="3">
        <f>+(NVDA_data[[#This Row],[Último]]/B495)-1</f>
        <v>-1.931200965600488E-2</v>
      </c>
    </row>
    <row r="497" spans="1:3" x14ac:dyDescent="0.25">
      <c r="A497" s="1">
        <v>44915</v>
      </c>
      <c r="B497" s="2">
        <v>1608</v>
      </c>
      <c r="C497" s="3">
        <f>+(NVDA_data[[#This Row],[Último]]/B496)-1</f>
        <v>-1.0461538461538411E-2</v>
      </c>
    </row>
    <row r="498" spans="1:3" x14ac:dyDescent="0.25">
      <c r="A498" s="1">
        <v>44916</v>
      </c>
      <c r="B498" s="2">
        <v>1650</v>
      </c>
      <c r="C498" s="3">
        <f>+(NVDA_data[[#This Row],[Último]]/B497)-1</f>
        <v>2.6119402985074647E-2</v>
      </c>
    </row>
    <row r="499" spans="1:3" x14ac:dyDescent="0.25">
      <c r="A499" s="1">
        <v>44917</v>
      </c>
      <c r="B499" s="2">
        <v>1534</v>
      </c>
      <c r="C499" s="3">
        <f>+(NVDA_data[[#This Row],[Último]]/B498)-1</f>
        <v>-7.0303030303030312E-2</v>
      </c>
    </row>
    <row r="500" spans="1:3" x14ac:dyDescent="0.25">
      <c r="A500" s="1">
        <v>44918</v>
      </c>
      <c r="B500" s="2">
        <v>1521</v>
      </c>
      <c r="C500" s="3">
        <f>+(NVDA_data[[#This Row],[Último]]/B499)-1</f>
        <v>-8.4745762711864181E-3</v>
      </c>
    </row>
    <row r="501" spans="1:3" x14ac:dyDescent="0.25">
      <c r="A501" s="1">
        <v>44922</v>
      </c>
      <c r="B501" s="2">
        <v>1412</v>
      </c>
      <c r="C501" s="3">
        <f>+(NVDA_data[[#This Row],[Último]]/B500)-1</f>
        <v>-7.1663379355687007E-2</v>
      </c>
    </row>
    <row r="502" spans="1:3" x14ac:dyDescent="0.25">
      <c r="A502" s="1">
        <v>44923</v>
      </c>
      <c r="B502" s="2">
        <v>1404</v>
      </c>
      <c r="C502" s="3">
        <f>+(NVDA_data[[#This Row],[Último]]/B501)-1</f>
        <v>-5.6657223796033884E-3</v>
      </c>
    </row>
    <row r="503" spans="1:3" x14ac:dyDescent="0.25">
      <c r="A503" s="1">
        <v>44924</v>
      </c>
      <c r="B503" s="2">
        <v>1460</v>
      </c>
      <c r="C503" s="3">
        <f>+(NVDA_data[[#This Row],[Último]]/B502)-1</f>
        <v>3.9886039886039892E-2</v>
      </c>
    </row>
    <row r="504" spans="1:3" x14ac:dyDescent="0.25">
      <c r="A504" s="1">
        <v>44925</v>
      </c>
      <c r="B504" s="2">
        <v>1461</v>
      </c>
      <c r="C504" s="3">
        <f>+(NVDA_data[[#This Row],[Último]]/B503)-1</f>
        <v>6.8493150684934001E-4</v>
      </c>
    </row>
    <row r="505" spans="1:3" x14ac:dyDescent="0.25">
      <c r="A505" s="1">
        <v>44929</v>
      </c>
      <c r="B505" s="2">
        <v>1431</v>
      </c>
      <c r="C505" s="3">
        <f>+(NVDA_data[[#This Row],[Último]]/B504)-1</f>
        <v>-2.0533880903490731E-2</v>
      </c>
    </row>
    <row r="506" spans="1:3" x14ac:dyDescent="0.25">
      <c r="A506" s="1">
        <v>44930</v>
      </c>
      <c r="B506" s="2">
        <v>1475</v>
      </c>
      <c r="C506" s="3">
        <f>+(NVDA_data[[#This Row],[Último]]/B505)-1</f>
        <v>3.0747728860936352E-2</v>
      </c>
    </row>
    <row r="507" spans="1:3" x14ac:dyDescent="0.25">
      <c r="A507" s="1">
        <v>44931</v>
      </c>
      <c r="B507" s="2">
        <v>1427</v>
      </c>
      <c r="C507" s="3">
        <f>+(NVDA_data[[#This Row],[Último]]/B506)-1</f>
        <v>-3.2542372881355974E-2</v>
      </c>
    </row>
    <row r="508" spans="1:3" x14ac:dyDescent="0.25">
      <c r="A508" s="1">
        <v>44932</v>
      </c>
      <c r="B508" s="2">
        <v>1486</v>
      </c>
      <c r="C508" s="3">
        <f>+(NVDA_data[[#This Row],[Último]]/B507)-1</f>
        <v>4.1345480028030845E-2</v>
      </c>
    </row>
    <row r="509" spans="1:3" x14ac:dyDescent="0.25">
      <c r="A509" s="1">
        <v>44935</v>
      </c>
      <c r="B509" s="2">
        <v>1563</v>
      </c>
      <c r="C509" s="3">
        <f>+(NVDA_data[[#This Row],[Último]]/B508)-1</f>
        <v>5.1816958277254299E-2</v>
      </c>
    </row>
    <row r="510" spans="1:3" x14ac:dyDescent="0.25">
      <c r="A510" s="1">
        <v>44936</v>
      </c>
      <c r="B510" s="2">
        <v>1591</v>
      </c>
      <c r="C510" s="3">
        <f>+(NVDA_data[[#This Row],[Último]]/B509)-1</f>
        <v>1.7914267434421038E-2</v>
      </c>
    </row>
    <row r="511" spans="1:3" x14ac:dyDescent="0.25">
      <c r="A511" s="1">
        <v>44937</v>
      </c>
      <c r="B511" s="2">
        <v>1600</v>
      </c>
      <c r="C511" s="3">
        <f>+(NVDA_data[[#This Row],[Último]]/B510)-1</f>
        <v>5.6568196103079504E-3</v>
      </c>
    </row>
    <row r="512" spans="1:3" x14ac:dyDescent="0.25">
      <c r="A512" s="1">
        <v>44938</v>
      </c>
      <c r="B512" s="2">
        <v>1651</v>
      </c>
      <c r="C512" s="3">
        <f>+(NVDA_data[[#This Row],[Último]]/B511)-1</f>
        <v>3.1875000000000098E-2</v>
      </c>
    </row>
    <row r="513" spans="1:3" x14ac:dyDescent="0.25">
      <c r="A513" s="1">
        <v>44939</v>
      </c>
      <c r="B513" s="2">
        <v>1690</v>
      </c>
      <c r="C513" s="3">
        <f>+(NVDA_data[[#This Row],[Último]]/B512)-1</f>
        <v>2.3622047244094446E-2</v>
      </c>
    </row>
    <row r="514" spans="1:3" x14ac:dyDescent="0.25">
      <c r="A514" s="1">
        <v>44943</v>
      </c>
      <c r="B514" s="2">
        <v>1770</v>
      </c>
      <c r="C514" s="3">
        <f>+(NVDA_data[[#This Row],[Último]]/B513)-1</f>
        <v>4.7337278106508895E-2</v>
      </c>
    </row>
    <row r="515" spans="1:3" x14ac:dyDescent="0.25">
      <c r="A515" s="1">
        <v>44944</v>
      </c>
      <c r="B515" s="2">
        <v>1738</v>
      </c>
      <c r="C515" s="3">
        <f>+(NVDA_data[[#This Row],[Último]]/B514)-1</f>
        <v>-1.8079096045197751E-2</v>
      </c>
    </row>
    <row r="516" spans="1:3" x14ac:dyDescent="0.25">
      <c r="A516" s="1">
        <v>44945</v>
      </c>
      <c r="B516" s="2">
        <v>1676</v>
      </c>
      <c r="C516" s="3">
        <f>+(NVDA_data[[#This Row],[Último]]/B515)-1</f>
        <v>-3.5673187571921727E-2</v>
      </c>
    </row>
    <row r="517" spans="1:3" x14ac:dyDescent="0.25">
      <c r="A517" s="1">
        <v>44946</v>
      </c>
      <c r="B517" s="2">
        <v>1784</v>
      </c>
      <c r="C517" s="3">
        <f>+(NVDA_data[[#This Row],[Último]]/B516)-1</f>
        <v>6.4439140811455742E-2</v>
      </c>
    </row>
    <row r="518" spans="1:3" x14ac:dyDescent="0.25">
      <c r="A518" s="1">
        <v>44949</v>
      </c>
      <c r="B518" s="2">
        <v>1919</v>
      </c>
      <c r="C518" s="3">
        <f>+(NVDA_data[[#This Row],[Último]]/B517)-1</f>
        <v>7.5672645739910394E-2</v>
      </c>
    </row>
    <row r="519" spans="1:3" x14ac:dyDescent="0.25">
      <c r="A519" s="1">
        <v>44950</v>
      </c>
      <c r="B519" s="2">
        <v>1926</v>
      </c>
      <c r="C519" s="3">
        <f>+(NVDA_data[[#This Row],[Último]]/B518)-1</f>
        <v>3.6477331943720603E-3</v>
      </c>
    </row>
    <row r="520" spans="1:3" x14ac:dyDescent="0.25">
      <c r="A520" s="1">
        <v>44951</v>
      </c>
      <c r="B520" s="2">
        <v>1932</v>
      </c>
      <c r="C520" s="3">
        <f>+(NVDA_data[[#This Row],[Último]]/B519)-1</f>
        <v>3.1152647975076775E-3</v>
      </c>
    </row>
    <row r="521" spans="1:3" x14ac:dyDescent="0.25">
      <c r="A521" s="1">
        <v>44952</v>
      </c>
      <c r="B521" s="2">
        <v>1980</v>
      </c>
      <c r="C521" s="3">
        <f>+(NVDA_data[[#This Row],[Último]]/B520)-1</f>
        <v>2.4844720496894457E-2</v>
      </c>
    </row>
    <row r="522" spans="1:3" x14ac:dyDescent="0.25">
      <c r="A522" s="1">
        <v>44953</v>
      </c>
      <c r="B522" s="2">
        <v>2036</v>
      </c>
      <c r="C522" s="3">
        <f>+(NVDA_data[[#This Row],[Último]]/B521)-1</f>
        <v>2.8282828282828243E-2</v>
      </c>
    </row>
    <row r="523" spans="1:3" x14ac:dyDescent="0.25">
      <c r="A523" s="1">
        <v>44956</v>
      </c>
      <c r="B523" s="2">
        <v>1916</v>
      </c>
      <c r="C523" s="3">
        <f>+(NVDA_data[[#This Row],[Último]]/B522)-1</f>
        <v>-5.8939096267190516E-2</v>
      </c>
    </row>
    <row r="524" spans="1:3" x14ac:dyDescent="0.25">
      <c r="A524" s="1">
        <v>44957</v>
      </c>
      <c r="B524" s="2">
        <v>1954</v>
      </c>
      <c r="C524" s="3">
        <f>+(NVDA_data[[#This Row],[Último]]/B523)-1</f>
        <v>1.9832985386221358E-2</v>
      </c>
    </row>
    <row r="525" spans="1:3" x14ac:dyDescent="0.25">
      <c r="A525" s="1">
        <v>44958</v>
      </c>
      <c r="B525" s="2">
        <v>2094</v>
      </c>
      <c r="C525" s="3">
        <f>+(NVDA_data[[#This Row],[Último]]/B524)-1</f>
        <v>7.1647901740020448E-2</v>
      </c>
    </row>
    <row r="526" spans="1:3" x14ac:dyDescent="0.25">
      <c r="A526" s="1">
        <v>44959</v>
      </c>
      <c r="B526" s="2">
        <v>2171</v>
      </c>
      <c r="C526" s="3">
        <f>+(NVDA_data[[#This Row],[Último]]/B525)-1</f>
        <v>3.6771728748806076E-2</v>
      </c>
    </row>
    <row r="527" spans="1:3" x14ac:dyDescent="0.25">
      <c r="A527" s="1">
        <v>44960</v>
      </c>
      <c r="B527" s="2">
        <v>2110</v>
      </c>
      <c r="C527" s="3">
        <f>+(NVDA_data[[#This Row],[Último]]/B526)-1</f>
        <v>-2.8097650852141887E-2</v>
      </c>
    </row>
    <row r="528" spans="1:3" x14ac:dyDescent="0.25">
      <c r="A528" s="1">
        <v>44963</v>
      </c>
      <c r="B528" s="2">
        <v>2109</v>
      </c>
      <c r="C528" s="3">
        <f>+(NVDA_data[[#This Row],[Último]]/B527)-1</f>
        <v>-4.7393364928904891E-4</v>
      </c>
    </row>
    <row r="529" spans="1:3" x14ac:dyDescent="0.25">
      <c r="A529" s="1">
        <v>44964</v>
      </c>
      <c r="B529" s="2">
        <v>2217</v>
      </c>
      <c r="C529" s="3">
        <f>+(NVDA_data[[#This Row],[Último]]/B528)-1</f>
        <v>5.1209103840682779E-2</v>
      </c>
    </row>
    <row r="530" spans="1:3" x14ac:dyDescent="0.25">
      <c r="A530" s="1">
        <v>44965</v>
      </c>
      <c r="B530" s="2">
        <v>2220</v>
      </c>
      <c r="C530" s="3">
        <f>+(NVDA_data[[#This Row],[Último]]/B529)-1</f>
        <v>1.3531799729364913E-3</v>
      </c>
    </row>
    <row r="531" spans="1:3" x14ac:dyDescent="0.25">
      <c r="A531" s="1">
        <v>44966</v>
      </c>
      <c r="B531" s="2">
        <v>2234</v>
      </c>
      <c r="C531" s="3">
        <f>+(NVDA_data[[#This Row],[Último]]/B530)-1</f>
        <v>6.3063063063062419E-3</v>
      </c>
    </row>
    <row r="532" spans="1:3" x14ac:dyDescent="0.25">
      <c r="A532" s="1">
        <v>44967</v>
      </c>
      <c r="B532" s="2">
        <v>2126</v>
      </c>
      <c r="C532" s="3">
        <f>+(NVDA_data[[#This Row],[Último]]/B531)-1</f>
        <v>-4.8343777976723401E-2</v>
      </c>
    </row>
    <row r="533" spans="1:3" x14ac:dyDescent="0.25">
      <c r="A533" s="1">
        <v>44970</v>
      </c>
      <c r="B533" s="2">
        <v>2179</v>
      </c>
      <c r="C533" s="3">
        <f>+(NVDA_data[[#This Row],[Último]]/B532)-1</f>
        <v>2.4929444967074277E-2</v>
      </c>
    </row>
    <row r="534" spans="1:3" x14ac:dyDescent="0.25">
      <c r="A534" s="1">
        <v>44971</v>
      </c>
      <c r="B534" s="2">
        <v>2297</v>
      </c>
      <c r="C534" s="3">
        <f>+(NVDA_data[[#This Row],[Último]]/B533)-1</f>
        <v>5.4153281321707158E-2</v>
      </c>
    </row>
    <row r="535" spans="1:3" x14ac:dyDescent="0.25">
      <c r="A535" s="1">
        <v>44972</v>
      </c>
      <c r="B535" s="2">
        <v>2276</v>
      </c>
      <c r="C535" s="3">
        <f>+(NVDA_data[[#This Row],[Último]]/B534)-1</f>
        <v>-9.142359599477623E-3</v>
      </c>
    </row>
    <row r="536" spans="1:3" x14ac:dyDescent="0.25">
      <c r="A536" s="1">
        <v>44973</v>
      </c>
      <c r="B536" s="2">
        <v>2200</v>
      </c>
      <c r="C536" s="3">
        <f>+(NVDA_data[[#This Row],[Último]]/B535)-1</f>
        <v>-3.3391915641476255E-2</v>
      </c>
    </row>
    <row r="537" spans="1:3" x14ac:dyDescent="0.25">
      <c r="A537" s="1">
        <v>44974</v>
      </c>
      <c r="B537" s="2">
        <v>2139</v>
      </c>
      <c r="C537" s="3">
        <f>+(NVDA_data[[#This Row],[Último]]/B536)-1</f>
        <v>-2.7727272727272712E-2</v>
      </c>
    </row>
    <row r="538" spans="1:3" x14ac:dyDescent="0.25">
      <c r="A538" s="1">
        <v>44978</v>
      </c>
      <c r="B538" s="2">
        <v>2066</v>
      </c>
      <c r="C538" s="3">
        <f>+(NVDA_data[[#This Row],[Último]]/B537)-1</f>
        <v>-3.4128097241701738E-2</v>
      </c>
    </row>
    <row r="539" spans="1:3" x14ac:dyDescent="0.25">
      <c r="A539" s="1">
        <v>44979</v>
      </c>
      <c r="B539" s="2">
        <v>2075</v>
      </c>
      <c r="C539" s="3">
        <f>+(NVDA_data[[#This Row],[Último]]/B538)-1</f>
        <v>4.3562439496611649E-3</v>
      </c>
    </row>
    <row r="540" spans="1:3" x14ac:dyDescent="0.25">
      <c r="A540" s="1">
        <v>44980</v>
      </c>
      <c r="B540" s="2">
        <v>2366</v>
      </c>
      <c r="C540" s="3">
        <f>+(NVDA_data[[#This Row],[Último]]/B539)-1</f>
        <v>0.14024096385542162</v>
      </c>
    </row>
    <row r="541" spans="1:3" x14ac:dyDescent="0.25">
      <c r="A541" s="1">
        <v>44981</v>
      </c>
      <c r="B541" s="2">
        <v>2329</v>
      </c>
      <c r="C541" s="3">
        <f>+(NVDA_data[[#This Row],[Último]]/B540)-1</f>
        <v>-1.5638207945900207E-2</v>
      </c>
    </row>
    <row r="542" spans="1:3" x14ac:dyDescent="0.25">
      <c r="A542" s="1">
        <v>44984</v>
      </c>
      <c r="B542" s="2">
        <v>2350</v>
      </c>
      <c r="C542" s="3">
        <f>+(NVDA_data[[#This Row],[Último]]/B541)-1</f>
        <v>9.0167453842850964E-3</v>
      </c>
    </row>
    <row r="543" spans="1:3" x14ac:dyDescent="0.25">
      <c r="A543" s="1">
        <v>44985</v>
      </c>
      <c r="B543" s="2">
        <v>2322</v>
      </c>
      <c r="C543" s="3">
        <f>+(NVDA_data[[#This Row],[Último]]/B542)-1</f>
        <v>-1.1914893617021249E-2</v>
      </c>
    </row>
    <row r="544" spans="1:3" x14ac:dyDescent="0.25">
      <c r="A544" s="1">
        <v>44986</v>
      </c>
      <c r="B544" s="2">
        <v>2270</v>
      </c>
      <c r="C544" s="3">
        <f>+(NVDA_data[[#This Row],[Último]]/B543)-1</f>
        <v>-2.2394487510766559E-2</v>
      </c>
    </row>
    <row r="545" spans="1:3" x14ac:dyDescent="0.25">
      <c r="A545" s="1">
        <v>44987</v>
      </c>
      <c r="B545" s="2">
        <v>2331</v>
      </c>
      <c r="C545" s="3">
        <f>+(NVDA_data[[#This Row],[Último]]/B544)-1</f>
        <v>2.6872246696035162E-2</v>
      </c>
    </row>
    <row r="546" spans="1:3" x14ac:dyDescent="0.25">
      <c r="A546" s="1">
        <v>44988</v>
      </c>
      <c r="B546" s="2">
        <v>2389</v>
      </c>
      <c r="C546" s="3">
        <f>+(NVDA_data[[#This Row],[Último]]/B545)-1</f>
        <v>2.4882024882024956E-2</v>
      </c>
    </row>
    <row r="547" spans="1:3" x14ac:dyDescent="0.25">
      <c r="A547" s="1">
        <v>44991</v>
      </c>
      <c r="B547" s="2">
        <v>2355</v>
      </c>
      <c r="C547" s="3">
        <f>+(NVDA_data[[#This Row],[Último]]/B546)-1</f>
        <v>-1.4231896190874838E-2</v>
      </c>
    </row>
    <row r="548" spans="1:3" x14ac:dyDescent="0.25">
      <c r="A548" s="1">
        <v>44992</v>
      </c>
      <c r="B548" s="2">
        <v>2329</v>
      </c>
      <c r="C548" s="3">
        <f>+(NVDA_data[[#This Row],[Último]]/B547)-1</f>
        <v>-1.1040339702760082E-2</v>
      </c>
    </row>
    <row r="549" spans="1:3" x14ac:dyDescent="0.25">
      <c r="A549" s="1">
        <v>44993</v>
      </c>
      <c r="B549" s="2">
        <v>2418</v>
      </c>
      <c r="C549" s="3">
        <f>+(NVDA_data[[#This Row],[Último]]/B548)-1</f>
        <v>3.8213825676255864E-2</v>
      </c>
    </row>
    <row r="550" spans="1:3" x14ac:dyDescent="0.25">
      <c r="A550" s="1">
        <v>44994</v>
      </c>
      <c r="B550" s="2">
        <v>2344</v>
      </c>
      <c r="C550" s="3">
        <f>+(NVDA_data[[#This Row],[Último]]/B549)-1</f>
        <v>-3.060380479735314E-2</v>
      </c>
    </row>
    <row r="551" spans="1:3" x14ac:dyDescent="0.25">
      <c r="A551" s="1">
        <v>44995</v>
      </c>
      <c r="B551" s="2">
        <v>2297</v>
      </c>
      <c r="C551" s="3">
        <f>+(NVDA_data[[#This Row],[Último]]/B550)-1</f>
        <v>-2.0051194539249195E-2</v>
      </c>
    </row>
    <row r="552" spans="1:3" x14ac:dyDescent="0.25">
      <c r="A552" s="1">
        <v>44998</v>
      </c>
      <c r="B552" s="2">
        <v>2297</v>
      </c>
      <c r="C552" s="3">
        <f>+(NVDA_data[[#This Row],[Último]]/B551)-1</f>
        <v>0</v>
      </c>
    </row>
    <row r="553" spans="1:3" x14ac:dyDescent="0.25">
      <c r="A553" s="1">
        <v>44999</v>
      </c>
      <c r="B553" s="2">
        <v>2406</v>
      </c>
      <c r="C553" s="3">
        <f>+(NVDA_data[[#This Row],[Último]]/B552)-1</f>
        <v>4.7453199825859826E-2</v>
      </c>
    </row>
    <row r="554" spans="1:3" x14ac:dyDescent="0.25">
      <c r="A554" s="1">
        <v>45000</v>
      </c>
      <c r="B554" s="2">
        <v>2423</v>
      </c>
      <c r="C554" s="3">
        <f>+(NVDA_data[[#This Row],[Último]]/B553)-1</f>
        <v>7.0656691604322752E-3</v>
      </c>
    </row>
    <row r="555" spans="1:3" x14ac:dyDescent="0.25">
      <c r="A555" s="1">
        <v>45001</v>
      </c>
      <c r="B555" s="2">
        <v>2554</v>
      </c>
      <c r="C555" s="3">
        <f>+(NVDA_data[[#This Row],[Último]]/B554)-1</f>
        <v>5.4065208419314947E-2</v>
      </c>
    </row>
    <row r="556" spans="1:3" x14ac:dyDescent="0.25">
      <c r="A556" s="1">
        <v>45002</v>
      </c>
      <c r="B556" s="2">
        <v>2573</v>
      </c>
      <c r="C556" s="3">
        <f>+(NVDA_data[[#This Row],[Último]]/B555)-1</f>
        <v>7.4393108848864742E-3</v>
      </c>
    </row>
    <row r="557" spans="1:3" x14ac:dyDescent="0.25">
      <c r="A557" s="1">
        <v>45005</v>
      </c>
      <c r="B557" s="2">
        <v>2590</v>
      </c>
      <c r="C557" s="3">
        <f>+(NVDA_data[[#This Row],[Último]]/B556)-1</f>
        <v>6.6070734551106902E-3</v>
      </c>
    </row>
    <row r="558" spans="1:3" x14ac:dyDescent="0.25">
      <c r="A558" s="1">
        <v>45006</v>
      </c>
      <c r="B558" s="2">
        <v>2620</v>
      </c>
      <c r="C558" s="3">
        <f>+(NVDA_data[[#This Row],[Último]]/B557)-1</f>
        <v>1.158301158301156E-2</v>
      </c>
    </row>
    <row r="559" spans="1:3" x14ac:dyDescent="0.25">
      <c r="A559" s="1">
        <v>45007</v>
      </c>
      <c r="B559" s="2">
        <v>2647</v>
      </c>
      <c r="C559" s="3">
        <f>+(NVDA_data[[#This Row],[Último]]/B558)-1</f>
        <v>1.0305343511450404E-2</v>
      </c>
    </row>
    <row r="560" spans="1:3" x14ac:dyDescent="0.25">
      <c r="A560" s="1">
        <v>45008</v>
      </c>
      <c r="B560" s="2">
        <v>2719</v>
      </c>
      <c r="C560" s="3">
        <f>+(NVDA_data[[#This Row],[Último]]/B559)-1</f>
        <v>2.7200604457876754E-2</v>
      </c>
    </row>
    <row r="561" spans="1:3" x14ac:dyDescent="0.25">
      <c r="A561" s="1">
        <v>45009</v>
      </c>
      <c r="B561" s="2">
        <v>2678</v>
      </c>
      <c r="C561" s="3">
        <f>+(NVDA_data[[#This Row],[Último]]/B560)-1</f>
        <v>-1.5079073188672298E-2</v>
      </c>
    </row>
    <row r="562" spans="1:3" x14ac:dyDescent="0.25">
      <c r="A562" s="1">
        <v>45012</v>
      </c>
      <c r="B562" s="2">
        <v>2653</v>
      </c>
      <c r="C562" s="3">
        <f>+(NVDA_data[[#This Row],[Último]]/B561)-1</f>
        <v>-9.3353248693054391E-3</v>
      </c>
    </row>
    <row r="563" spans="1:3" x14ac:dyDescent="0.25">
      <c r="A563" s="1">
        <v>45013</v>
      </c>
      <c r="B563" s="2">
        <v>2641</v>
      </c>
      <c r="C563" s="3">
        <f>+(NVDA_data[[#This Row],[Último]]/B562)-1</f>
        <v>-4.523181304183943E-3</v>
      </c>
    </row>
    <row r="564" spans="1:3" x14ac:dyDescent="0.25">
      <c r="A564" s="1">
        <v>45014</v>
      </c>
      <c r="B564" s="2">
        <v>2698</v>
      </c>
      <c r="C564" s="3">
        <f>+(NVDA_data[[#This Row],[Último]]/B563)-1</f>
        <v>2.1582733812949728E-2</v>
      </c>
    </row>
    <row r="565" spans="1:3" x14ac:dyDescent="0.25">
      <c r="A565" s="1">
        <v>45015</v>
      </c>
      <c r="B565" s="2">
        <v>2738</v>
      </c>
      <c r="C565" s="3">
        <f>+(NVDA_data[[#This Row],[Último]]/B564)-1</f>
        <v>1.4825796886582587E-2</v>
      </c>
    </row>
    <row r="566" spans="1:3" x14ac:dyDescent="0.25">
      <c r="A566" s="1">
        <v>45016</v>
      </c>
      <c r="B566" s="2">
        <v>2778</v>
      </c>
      <c r="C566" s="3">
        <f>+(NVDA_data[[#This Row],[Último]]/B565)-1</f>
        <v>1.4609203798392922E-2</v>
      </c>
    </row>
    <row r="567" spans="1:3" x14ac:dyDescent="0.25">
      <c r="A567" s="1">
        <v>45019</v>
      </c>
      <c r="B567" s="2">
        <v>2797</v>
      </c>
      <c r="C567" s="3">
        <f>+(NVDA_data[[#This Row],[Último]]/B566)-1</f>
        <v>6.8394528437725199E-3</v>
      </c>
    </row>
    <row r="568" spans="1:3" x14ac:dyDescent="0.25">
      <c r="A568" s="1">
        <v>45020</v>
      </c>
      <c r="B568" s="2">
        <v>2745</v>
      </c>
      <c r="C568" s="3">
        <f>+(NVDA_data[[#This Row],[Último]]/B567)-1</f>
        <v>-1.8591347872720765E-2</v>
      </c>
    </row>
    <row r="569" spans="1:3" x14ac:dyDescent="0.25">
      <c r="A569" s="1">
        <v>45021</v>
      </c>
      <c r="B569" s="2">
        <v>2688</v>
      </c>
      <c r="C569" s="3">
        <f>+(NVDA_data[[#This Row],[Último]]/B568)-1</f>
        <v>-2.0765027322404372E-2</v>
      </c>
    </row>
    <row r="570" spans="1:3" x14ac:dyDescent="0.25">
      <c r="A570" s="1">
        <v>45022</v>
      </c>
      <c r="B570" s="2">
        <v>2704</v>
      </c>
      <c r="C570" s="3">
        <f>+(NVDA_data[[#This Row],[Último]]/B569)-1</f>
        <v>5.9523809523809312E-3</v>
      </c>
    </row>
    <row r="571" spans="1:3" x14ac:dyDescent="0.25">
      <c r="A571" s="1">
        <v>45026</v>
      </c>
      <c r="B571" s="2">
        <v>2758</v>
      </c>
      <c r="C571" s="3">
        <f>+(NVDA_data[[#This Row],[Último]]/B570)-1</f>
        <v>1.9970414201183395E-2</v>
      </c>
    </row>
    <row r="572" spans="1:3" x14ac:dyDescent="0.25">
      <c r="A572" s="1">
        <v>45027</v>
      </c>
      <c r="B572" s="2">
        <v>2717</v>
      </c>
      <c r="C572" s="3">
        <f>+(NVDA_data[[#This Row],[Último]]/B571)-1</f>
        <v>-1.4865844815083351E-2</v>
      </c>
    </row>
    <row r="573" spans="1:3" x14ac:dyDescent="0.25">
      <c r="A573" s="1">
        <v>45028</v>
      </c>
      <c r="B573" s="2">
        <v>2650</v>
      </c>
      <c r="C573" s="3">
        <f>+(NVDA_data[[#This Row],[Último]]/B572)-1</f>
        <v>-2.465955097534045E-2</v>
      </c>
    </row>
    <row r="574" spans="1:3" x14ac:dyDescent="0.25">
      <c r="A574" s="1">
        <v>45029</v>
      </c>
      <c r="B574" s="2">
        <v>2646</v>
      </c>
      <c r="C574" s="3">
        <f>+(NVDA_data[[#This Row],[Último]]/B573)-1</f>
        <v>-1.5094339622641062E-3</v>
      </c>
    </row>
    <row r="575" spans="1:3" x14ac:dyDescent="0.25">
      <c r="A575" s="1">
        <v>45030</v>
      </c>
      <c r="B575" s="2">
        <v>2676</v>
      </c>
      <c r="C575" s="3">
        <f>+(NVDA_data[[#This Row],[Último]]/B574)-1</f>
        <v>1.133786848072571E-2</v>
      </c>
    </row>
    <row r="576" spans="1:3" x14ac:dyDescent="0.25">
      <c r="A576" s="1">
        <v>45033</v>
      </c>
      <c r="B576" s="2">
        <v>2700</v>
      </c>
      <c r="C576" s="3">
        <f>+(NVDA_data[[#This Row],[Último]]/B575)-1</f>
        <v>8.9686098654708779E-3</v>
      </c>
    </row>
    <row r="577" spans="1:3" x14ac:dyDescent="0.25">
      <c r="A577" s="1">
        <v>45034</v>
      </c>
      <c r="B577" s="2">
        <v>2767</v>
      </c>
      <c r="C577" s="3">
        <f>+(NVDA_data[[#This Row],[Último]]/B576)-1</f>
        <v>2.4814814814814845E-2</v>
      </c>
    </row>
    <row r="578" spans="1:3" x14ac:dyDescent="0.25">
      <c r="A578" s="1">
        <v>45035</v>
      </c>
      <c r="B578" s="2">
        <v>2793</v>
      </c>
      <c r="C578" s="3">
        <f>+(NVDA_data[[#This Row],[Último]]/B577)-1</f>
        <v>9.3964582580412515E-3</v>
      </c>
    </row>
    <row r="579" spans="1:3" x14ac:dyDescent="0.25">
      <c r="A579" s="1">
        <v>45036</v>
      </c>
      <c r="B579" s="2">
        <v>2710</v>
      </c>
      <c r="C579" s="3">
        <f>+(NVDA_data[[#This Row],[Último]]/B578)-1</f>
        <v>-2.9717150017901872E-2</v>
      </c>
    </row>
    <row r="580" spans="1:3" x14ac:dyDescent="0.25">
      <c r="A580" s="1">
        <v>45037</v>
      </c>
      <c r="B580" s="2">
        <v>2712</v>
      </c>
      <c r="C580" s="3">
        <f>+(NVDA_data[[#This Row],[Último]]/B579)-1</f>
        <v>7.3800738007379074E-4</v>
      </c>
    </row>
    <row r="581" spans="1:3" x14ac:dyDescent="0.25">
      <c r="A581" s="1">
        <v>45040</v>
      </c>
      <c r="B581" s="2">
        <v>2704</v>
      </c>
      <c r="C581" s="3">
        <f>+(NVDA_data[[#This Row],[Último]]/B580)-1</f>
        <v>-2.9498525073746729E-3</v>
      </c>
    </row>
    <row r="582" spans="1:3" x14ac:dyDescent="0.25">
      <c r="A582" s="1">
        <v>45041</v>
      </c>
      <c r="B582" s="2">
        <v>2624</v>
      </c>
      <c r="C582" s="3">
        <f>+(NVDA_data[[#This Row],[Último]]/B581)-1</f>
        <v>-2.9585798816568087E-2</v>
      </c>
    </row>
    <row r="583" spans="1:3" x14ac:dyDescent="0.25">
      <c r="A583" s="1">
        <v>45042</v>
      </c>
      <c r="B583" s="2">
        <v>2696</v>
      </c>
      <c r="C583" s="3">
        <f>+(NVDA_data[[#This Row],[Último]]/B582)-1</f>
        <v>2.7439024390243816E-2</v>
      </c>
    </row>
    <row r="584" spans="1:3" x14ac:dyDescent="0.25">
      <c r="A584" s="1">
        <v>45043</v>
      </c>
      <c r="B584" s="2">
        <v>2723</v>
      </c>
      <c r="C584" s="3">
        <f>+(NVDA_data[[#This Row],[Último]]/B583)-1</f>
        <v>1.0014836795252169E-2</v>
      </c>
    </row>
    <row r="585" spans="1:3" x14ac:dyDescent="0.25">
      <c r="A585" s="1">
        <v>45044</v>
      </c>
      <c r="B585" s="2">
        <v>2775</v>
      </c>
      <c r="C585" s="3">
        <f>+(NVDA_data[[#This Row],[Último]]/B584)-1</f>
        <v>1.9096584649283876E-2</v>
      </c>
    </row>
    <row r="586" spans="1:3" x14ac:dyDescent="0.25">
      <c r="A586" s="1">
        <v>45047</v>
      </c>
      <c r="B586" s="2">
        <v>2891</v>
      </c>
      <c r="C586" s="3">
        <f>+(NVDA_data[[#This Row],[Último]]/B585)-1</f>
        <v>4.1801801801801819E-2</v>
      </c>
    </row>
    <row r="587" spans="1:3" x14ac:dyDescent="0.25">
      <c r="A587" s="1">
        <v>45048</v>
      </c>
      <c r="B587" s="2">
        <v>2821</v>
      </c>
      <c r="C587" s="3">
        <f>+(NVDA_data[[#This Row],[Último]]/B586)-1</f>
        <v>-2.4213075060532718E-2</v>
      </c>
    </row>
    <row r="588" spans="1:3" x14ac:dyDescent="0.25">
      <c r="A588" s="1">
        <v>45049</v>
      </c>
      <c r="B588" s="2">
        <v>2780</v>
      </c>
      <c r="C588" s="3">
        <f>+(NVDA_data[[#This Row],[Último]]/B587)-1</f>
        <v>-1.4533853243530626E-2</v>
      </c>
    </row>
    <row r="589" spans="1:3" x14ac:dyDescent="0.25">
      <c r="A589" s="1">
        <v>45050</v>
      </c>
      <c r="B589" s="2">
        <v>2756</v>
      </c>
      <c r="C589" s="3">
        <f>+(NVDA_data[[#This Row],[Último]]/B588)-1</f>
        <v>-8.6330935251798246E-3</v>
      </c>
    </row>
    <row r="590" spans="1:3" x14ac:dyDescent="0.25">
      <c r="A590" s="1">
        <v>45051</v>
      </c>
      <c r="B590" s="2">
        <v>2868</v>
      </c>
      <c r="C590" s="3">
        <f>+(NVDA_data[[#This Row],[Último]]/B589)-1</f>
        <v>4.0638606676342448E-2</v>
      </c>
    </row>
    <row r="591" spans="1:3" x14ac:dyDescent="0.25">
      <c r="A591" s="1">
        <v>45054</v>
      </c>
      <c r="B591" s="2">
        <v>2915</v>
      </c>
      <c r="C591" s="3">
        <f>+(NVDA_data[[#This Row],[Último]]/B590)-1</f>
        <v>1.6387726638772637E-2</v>
      </c>
    </row>
    <row r="592" spans="1:3" x14ac:dyDescent="0.25">
      <c r="A592" s="1">
        <v>45055</v>
      </c>
      <c r="B592" s="2">
        <v>2857</v>
      </c>
      <c r="C592" s="3">
        <f>+(NVDA_data[[#This Row],[Último]]/B591)-1</f>
        <v>-1.989708404802748E-2</v>
      </c>
    </row>
    <row r="593" spans="1:3" x14ac:dyDescent="0.25">
      <c r="A593" s="1">
        <v>45056</v>
      </c>
      <c r="B593" s="2">
        <v>2889</v>
      </c>
      <c r="C593" s="3">
        <f>+(NVDA_data[[#This Row],[Último]]/B592)-1</f>
        <v>1.1200560028001405E-2</v>
      </c>
    </row>
    <row r="594" spans="1:3" x14ac:dyDescent="0.25">
      <c r="A594" s="1">
        <v>45057</v>
      </c>
      <c r="B594" s="2">
        <v>2858</v>
      </c>
      <c r="C594" s="3">
        <f>+(NVDA_data[[#This Row],[Último]]/B593)-1</f>
        <v>-1.0730356524749074E-2</v>
      </c>
    </row>
    <row r="595" spans="1:3" x14ac:dyDescent="0.25">
      <c r="A595" s="1">
        <v>45058</v>
      </c>
      <c r="B595" s="2">
        <v>2834</v>
      </c>
      <c r="C595" s="3">
        <f>+(NVDA_data[[#This Row],[Último]]/B594)-1</f>
        <v>-8.39748075577329E-3</v>
      </c>
    </row>
    <row r="596" spans="1:3" x14ac:dyDescent="0.25">
      <c r="A596" s="1">
        <v>45061</v>
      </c>
      <c r="B596" s="2">
        <v>2895</v>
      </c>
      <c r="C596" s="3">
        <f>+(NVDA_data[[#This Row],[Último]]/B595)-1</f>
        <v>2.1524347212420691E-2</v>
      </c>
    </row>
    <row r="597" spans="1:3" x14ac:dyDescent="0.25">
      <c r="A597" s="1">
        <v>45062</v>
      </c>
      <c r="B597" s="2">
        <v>2921</v>
      </c>
      <c r="C597" s="3">
        <f>+(NVDA_data[[#This Row],[Último]]/B596)-1</f>
        <v>8.9810017271156894E-3</v>
      </c>
    </row>
    <row r="598" spans="1:3" x14ac:dyDescent="0.25">
      <c r="A598" s="1">
        <v>45063</v>
      </c>
      <c r="B598" s="2">
        <v>3018</v>
      </c>
      <c r="C598" s="3">
        <f>+(NVDA_data[[#This Row],[Último]]/B597)-1</f>
        <v>3.3207805546045854E-2</v>
      </c>
    </row>
    <row r="599" spans="1:3" x14ac:dyDescent="0.25">
      <c r="A599" s="1">
        <v>45064</v>
      </c>
      <c r="B599" s="2">
        <v>3168</v>
      </c>
      <c r="C599" s="3">
        <f>+(NVDA_data[[#This Row],[Último]]/B598)-1</f>
        <v>4.9701789264413598E-2</v>
      </c>
    </row>
    <row r="600" spans="1:3" x14ac:dyDescent="0.25">
      <c r="A600" s="1">
        <v>45065</v>
      </c>
      <c r="B600" s="2">
        <v>3126</v>
      </c>
      <c r="C600" s="3">
        <f>+(NVDA_data[[#This Row],[Último]]/B599)-1</f>
        <v>-1.3257575757575801E-2</v>
      </c>
    </row>
    <row r="601" spans="1:3" x14ac:dyDescent="0.25">
      <c r="A601" s="1">
        <v>45068</v>
      </c>
      <c r="B601" s="2">
        <v>3118</v>
      </c>
      <c r="C601" s="3">
        <f>+(NVDA_data[[#This Row],[Último]]/B600)-1</f>
        <v>-2.5591810620601008E-3</v>
      </c>
    </row>
    <row r="602" spans="1:3" x14ac:dyDescent="0.25">
      <c r="A602" s="1">
        <v>45069</v>
      </c>
      <c r="B602" s="2">
        <v>3069</v>
      </c>
      <c r="C602" s="3">
        <f>+(NVDA_data[[#This Row],[Último]]/B601)-1</f>
        <v>-1.5715202052597799E-2</v>
      </c>
    </row>
    <row r="603" spans="1:3" x14ac:dyDescent="0.25">
      <c r="A603" s="1">
        <v>45070</v>
      </c>
      <c r="B603" s="2">
        <v>3054</v>
      </c>
      <c r="C603" s="3">
        <f>+(NVDA_data[[#This Row],[Último]]/B602)-1</f>
        <v>-4.8875855327468187E-3</v>
      </c>
    </row>
    <row r="604" spans="1:3" x14ac:dyDescent="0.25">
      <c r="A604" s="1">
        <v>45071</v>
      </c>
      <c r="B604" s="2">
        <v>3798</v>
      </c>
      <c r="C604" s="3">
        <f>+(NVDA_data[[#This Row],[Último]]/B603)-1</f>
        <v>0.24361493123772093</v>
      </c>
    </row>
    <row r="605" spans="1:3" x14ac:dyDescent="0.25">
      <c r="A605" s="1">
        <v>45072</v>
      </c>
      <c r="B605" s="2">
        <v>3895</v>
      </c>
      <c r="C605" s="3">
        <f>+(NVDA_data[[#This Row],[Último]]/B604)-1</f>
        <v>2.5539757767245819E-2</v>
      </c>
    </row>
    <row r="606" spans="1:3" x14ac:dyDescent="0.25">
      <c r="A606" s="1">
        <v>45076</v>
      </c>
      <c r="B606" s="2">
        <v>4011</v>
      </c>
      <c r="C606" s="3">
        <f>+(NVDA_data[[#This Row],[Último]]/B605)-1</f>
        <v>2.9781771501925514E-2</v>
      </c>
    </row>
    <row r="607" spans="1:3" x14ac:dyDescent="0.25">
      <c r="A607" s="1">
        <v>45077</v>
      </c>
      <c r="B607" s="2">
        <v>3783</v>
      </c>
      <c r="C607" s="3">
        <f>+(NVDA_data[[#This Row],[Último]]/B606)-1</f>
        <v>-5.6843679880329123E-2</v>
      </c>
    </row>
    <row r="608" spans="1:3" x14ac:dyDescent="0.25">
      <c r="A608" s="1">
        <v>45078</v>
      </c>
      <c r="B608" s="2">
        <v>3977</v>
      </c>
      <c r="C608" s="3">
        <f>+(NVDA_data[[#This Row],[Último]]/B607)-1</f>
        <v>5.1282051282051322E-2</v>
      </c>
    </row>
    <row r="609" spans="1:3" x14ac:dyDescent="0.25">
      <c r="A609" s="1">
        <v>45079</v>
      </c>
      <c r="B609" s="2">
        <v>3933</v>
      </c>
      <c r="C609" s="3">
        <f>+(NVDA_data[[#This Row],[Último]]/B608)-1</f>
        <v>-1.1063615790797066E-2</v>
      </c>
    </row>
    <row r="610" spans="1:3" x14ac:dyDescent="0.25">
      <c r="A610" s="1">
        <v>45082</v>
      </c>
      <c r="B610" s="2">
        <v>3917</v>
      </c>
      <c r="C610" s="3">
        <f>+(NVDA_data[[#This Row],[Último]]/B609)-1</f>
        <v>-4.0681413679125589E-3</v>
      </c>
    </row>
    <row r="611" spans="1:3" x14ac:dyDescent="0.25">
      <c r="A611" s="1">
        <v>45083</v>
      </c>
      <c r="B611" s="2">
        <v>3865</v>
      </c>
      <c r="C611" s="3">
        <f>+(NVDA_data[[#This Row],[Último]]/B610)-1</f>
        <v>-1.3275465917794271E-2</v>
      </c>
    </row>
    <row r="612" spans="1:3" x14ac:dyDescent="0.25">
      <c r="A612" s="1">
        <v>45084</v>
      </c>
      <c r="B612" s="2">
        <v>3747</v>
      </c>
      <c r="C612" s="3">
        <f>+(NVDA_data[[#This Row],[Último]]/B611)-1</f>
        <v>-3.0530401034928878E-2</v>
      </c>
    </row>
    <row r="613" spans="1:3" x14ac:dyDescent="0.25">
      <c r="A613" s="1">
        <v>45085</v>
      </c>
      <c r="B613" s="2">
        <v>3851</v>
      </c>
      <c r="C613" s="3">
        <f>+(NVDA_data[[#This Row],[Último]]/B612)-1</f>
        <v>2.7755537763544114E-2</v>
      </c>
    </row>
    <row r="614" spans="1:3" x14ac:dyDescent="0.25">
      <c r="A614" s="1">
        <v>45086</v>
      </c>
      <c r="B614" s="2">
        <v>3877</v>
      </c>
      <c r="C614" s="3">
        <f>+(NVDA_data[[#This Row],[Último]]/B613)-1</f>
        <v>6.7514931186705152E-3</v>
      </c>
    </row>
    <row r="615" spans="1:3" x14ac:dyDescent="0.25">
      <c r="A615" s="1">
        <v>45089</v>
      </c>
      <c r="B615" s="2">
        <v>3948</v>
      </c>
      <c r="C615" s="3">
        <f>+(NVDA_data[[#This Row],[Último]]/B614)-1</f>
        <v>1.8313128707763804E-2</v>
      </c>
    </row>
    <row r="616" spans="1:3" x14ac:dyDescent="0.25">
      <c r="A616" s="1">
        <v>45090</v>
      </c>
      <c r="B616" s="2">
        <v>4102</v>
      </c>
      <c r="C616" s="3">
        <f>+(NVDA_data[[#This Row],[Último]]/B615)-1</f>
        <v>3.900709219858145E-2</v>
      </c>
    </row>
    <row r="617" spans="1:3" x14ac:dyDescent="0.25">
      <c r="A617" s="1">
        <v>45091</v>
      </c>
      <c r="B617" s="2">
        <v>4300</v>
      </c>
      <c r="C617" s="3">
        <f>+(NVDA_data[[#This Row],[Último]]/B616)-1</f>
        <v>4.8269137006338392E-2</v>
      </c>
    </row>
    <row r="618" spans="1:3" x14ac:dyDescent="0.25">
      <c r="A618" s="1">
        <v>45092</v>
      </c>
      <c r="B618" s="2">
        <v>4265</v>
      </c>
      <c r="C618" s="3">
        <f>+(NVDA_data[[#This Row],[Último]]/B617)-1</f>
        <v>-8.1395348837208781E-3</v>
      </c>
    </row>
    <row r="619" spans="1:3" x14ac:dyDescent="0.25">
      <c r="A619" s="1">
        <v>45093</v>
      </c>
      <c r="B619" s="2">
        <v>4269</v>
      </c>
      <c r="C619" s="3">
        <f>+(NVDA_data[[#This Row],[Último]]/B618)-1</f>
        <v>9.3786635404446983E-4</v>
      </c>
    </row>
    <row r="620" spans="1:3" x14ac:dyDescent="0.25">
      <c r="A620" s="1">
        <v>45097</v>
      </c>
      <c r="B620" s="2">
        <v>4381</v>
      </c>
      <c r="C620" s="3">
        <f>+(NVDA_data[[#This Row],[Último]]/B619)-1</f>
        <v>2.6235652377605945E-2</v>
      </c>
    </row>
    <row r="621" spans="1:3" x14ac:dyDescent="0.25">
      <c r="A621" s="1">
        <v>45098</v>
      </c>
      <c r="B621" s="2">
        <v>4304</v>
      </c>
      <c r="C621" s="3">
        <f>+(NVDA_data[[#This Row],[Último]]/B620)-1</f>
        <v>-1.7575895914174855E-2</v>
      </c>
    </row>
    <row r="622" spans="1:3" x14ac:dyDescent="0.25">
      <c r="A622" s="1">
        <v>45099</v>
      </c>
      <c r="B622" s="2">
        <v>4303</v>
      </c>
      <c r="C622" s="3">
        <f>+(NVDA_data[[#This Row],[Último]]/B621)-1</f>
        <v>-2.3234200743493805E-4</v>
      </c>
    </row>
    <row r="623" spans="1:3" x14ac:dyDescent="0.25">
      <c r="A623" s="1">
        <v>45100</v>
      </c>
      <c r="B623" s="2">
        <v>4221</v>
      </c>
      <c r="C623" s="3">
        <f>+(NVDA_data[[#This Row],[Último]]/B622)-1</f>
        <v>-1.9056472228677679E-2</v>
      </c>
    </row>
    <row r="624" spans="1:3" x14ac:dyDescent="0.25">
      <c r="A624" s="1">
        <v>45103</v>
      </c>
      <c r="B624" s="2">
        <v>4063</v>
      </c>
      <c r="C624" s="3">
        <f>+(NVDA_data[[#This Row],[Último]]/B623)-1</f>
        <v>-3.7431888178156791E-2</v>
      </c>
    </row>
    <row r="625" spans="1:3" x14ac:dyDescent="0.25">
      <c r="A625" s="1">
        <v>45104</v>
      </c>
      <c r="B625" s="2">
        <v>4188</v>
      </c>
      <c r="C625" s="3">
        <f>+(NVDA_data[[#This Row],[Último]]/B624)-1</f>
        <v>3.0765444253014973E-2</v>
      </c>
    </row>
    <row r="626" spans="1:3" x14ac:dyDescent="0.25">
      <c r="A626" s="1">
        <v>45105</v>
      </c>
      <c r="B626" s="2">
        <v>4112</v>
      </c>
      <c r="C626" s="3">
        <f>+(NVDA_data[[#This Row],[Último]]/B625)-1</f>
        <v>-1.8147086914995225E-2</v>
      </c>
    </row>
    <row r="627" spans="1:3" x14ac:dyDescent="0.25">
      <c r="A627" s="1">
        <v>45106</v>
      </c>
      <c r="B627" s="2">
        <v>4082</v>
      </c>
      <c r="C627" s="3">
        <f>+(NVDA_data[[#This Row],[Último]]/B626)-1</f>
        <v>-7.2957198443579507E-3</v>
      </c>
    </row>
    <row r="628" spans="1:3" x14ac:dyDescent="0.25">
      <c r="A628" s="1">
        <v>45107</v>
      </c>
      <c r="B628" s="2">
        <v>4230</v>
      </c>
      <c r="C628" s="3">
        <f>+(NVDA_data[[#This Row],[Último]]/B627)-1</f>
        <v>3.6256736893679475E-2</v>
      </c>
    </row>
    <row r="629" spans="1:3" x14ac:dyDescent="0.25">
      <c r="A629" s="1">
        <v>45110</v>
      </c>
      <c r="B629" s="2">
        <v>4241</v>
      </c>
      <c r="C629" s="3">
        <f>+(NVDA_data[[#This Row],[Último]]/B628)-1</f>
        <v>2.6004728132387189E-3</v>
      </c>
    </row>
    <row r="630" spans="1:3" x14ac:dyDescent="0.25">
      <c r="A630" s="1">
        <v>45112</v>
      </c>
      <c r="B630" s="2">
        <v>4232</v>
      </c>
      <c r="C630" s="3">
        <f>+(NVDA_data[[#This Row],[Último]]/B629)-1</f>
        <v>-2.1221410044800493E-3</v>
      </c>
    </row>
    <row r="631" spans="1:3" x14ac:dyDescent="0.25">
      <c r="A631" s="1">
        <v>45113</v>
      </c>
      <c r="B631" s="2">
        <v>4210</v>
      </c>
      <c r="C631" s="3">
        <f>+(NVDA_data[[#This Row],[Último]]/B630)-1</f>
        <v>-5.1984877126654006E-3</v>
      </c>
    </row>
    <row r="632" spans="1:3" x14ac:dyDescent="0.25">
      <c r="A632" s="1">
        <v>45114</v>
      </c>
      <c r="B632" s="2">
        <v>4250</v>
      </c>
      <c r="C632" s="3">
        <f>+(NVDA_data[[#This Row],[Último]]/B631)-1</f>
        <v>9.5011876484560887E-3</v>
      </c>
    </row>
    <row r="633" spans="1:3" x14ac:dyDescent="0.25">
      <c r="A633" s="1">
        <v>45117</v>
      </c>
      <c r="B633" s="2">
        <v>4218</v>
      </c>
      <c r="C633" s="3">
        <f>+(NVDA_data[[#This Row],[Último]]/B632)-1</f>
        <v>-7.5294117647058956E-3</v>
      </c>
    </row>
    <row r="634" spans="1:3" x14ac:dyDescent="0.25">
      <c r="A634" s="1">
        <v>45118</v>
      </c>
      <c r="B634" s="2">
        <v>4240</v>
      </c>
      <c r="C634" s="3">
        <f>+(NVDA_data[[#This Row],[Último]]/B633)-1</f>
        <v>5.2157420578473612E-3</v>
      </c>
    </row>
    <row r="635" spans="1:3" x14ac:dyDescent="0.25">
      <c r="A635" s="1">
        <v>45119</v>
      </c>
      <c r="B635" s="2">
        <v>4390</v>
      </c>
      <c r="C635" s="3">
        <f>+(NVDA_data[[#This Row],[Último]]/B634)-1</f>
        <v>3.5377358490566113E-2</v>
      </c>
    </row>
    <row r="636" spans="1:3" x14ac:dyDescent="0.25">
      <c r="A636" s="1">
        <v>45120</v>
      </c>
      <c r="B636" s="2">
        <v>4598</v>
      </c>
      <c r="C636" s="3">
        <f>+(NVDA_data[[#This Row],[Último]]/B635)-1</f>
        <v>4.738041002277904E-2</v>
      </c>
    </row>
    <row r="637" spans="1:3" x14ac:dyDescent="0.25">
      <c r="A637" s="1">
        <v>45121</v>
      </c>
      <c r="B637" s="2">
        <v>4547</v>
      </c>
      <c r="C637" s="3">
        <f>+(NVDA_data[[#This Row],[Último]]/B636)-1</f>
        <v>-1.1091779034362759E-2</v>
      </c>
    </row>
    <row r="638" spans="1:3" x14ac:dyDescent="0.25">
      <c r="A638" s="1">
        <v>45124</v>
      </c>
      <c r="B638" s="2">
        <v>4646</v>
      </c>
      <c r="C638" s="3">
        <f>+(NVDA_data[[#This Row],[Último]]/B637)-1</f>
        <v>2.1772597316912279E-2</v>
      </c>
    </row>
    <row r="639" spans="1:3" x14ac:dyDescent="0.25">
      <c r="A639" s="1">
        <v>45125</v>
      </c>
      <c r="B639" s="2">
        <v>4749</v>
      </c>
      <c r="C639" s="3">
        <f>+(NVDA_data[[#This Row],[Último]]/B638)-1</f>
        <v>2.2169608265174334E-2</v>
      </c>
    </row>
    <row r="640" spans="1:3" x14ac:dyDescent="0.25">
      <c r="A640" s="1">
        <v>45126</v>
      </c>
      <c r="B640" s="2">
        <v>4708</v>
      </c>
      <c r="C640" s="3">
        <f>+(NVDA_data[[#This Row],[Último]]/B639)-1</f>
        <v>-8.6333965045273242E-3</v>
      </c>
    </row>
    <row r="641" spans="1:3" x14ac:dyDescent="0.25">
      <c r="A641" s="1">
        <v>45127</v>
      </c>
      <c r="B641" s="2">
        <v>4552</v>
      </c>
      <c r="C641" s="3">
        <f>+(NVDA_data[[#This Row],[Último]]/B640)-1</f>
        <v>-3.3135089209855528E-2</v>
      </c>
    </row>
    <row r="642" spans="1:3" x14ac:dyDescent="0.25">
      <c r="A642" s="1">
        <v>45128</v>
      </c>
      <c r="B642" s="2">
        <v>4431</v>
      </c>
      <c r="C642" s="3">
        <f>+(NVDA_data[[#This Row],[Último]]/B641)-1</f>
        <v>-2.6581722319859447E-2</v>
      </c>
    </row>
    <row r="643" spans="1:3" x14ac:dyDescent="0.25">
      <c r="A643" s="1">
        <v>45131</v>
      </c>
      <c r="B643" s="2">
        <v>4461</v>
      </c>
      <c r="C643" s="3">
        <f>+(NVDA_data[[#This Row],[Último]]/B642)-1</f>
        <v>6.7704807041299997E-3</v>
      </c>
    </row>
    <row r="644" spans="1:3" x14ac:dyDescent="0.25">
      <c r="A644" s="1">
        <v>45132</v>
      </c>
      <c r="B644" s="2">
        <v>4568</v>
      </c>
      <c r="C644" s="3">
        <f>+(NVDA_data[[#This Row],[Último]]/B643)-1</f>
        <v>2.3985653440932619E-2</v>
      </c>
    </row>
    <row r="645" spans="1:3" x14ac:dyDescent="0.25">
      <c r="A645" s="1">
        <v>45133</v>
      </c>
      <c r="B645" s="2">
        <v>4545</v>
      </c>
      <c r="C645" s="3">
        <f>+(NVDA_data[[#This Row],[Último]]/B644)-1</f>
        <v>-5.035026269702314E-3</v>
      </c>
    </row>
    <row r="646" spans="1:3" x14ac:dyDescent="0.25">
      <c r="A646" s="1">
        <v>45134</v>
      </c>
      <c r="B646" s="2">
        <v>4590</v>
      </c>
      <c r="C646" s="3">
        <f>+(NVDA_data[[#This Row],[Último]]/B645)-1</f>
        <v>9.9009900990099098E-3</v>
      </c>
    </row>
    <row r="647" spans="1:3" x14ac:dyDescent="0.25">
      <c r="A647" s="1">
        <v>45135</v>
      </c>
      <c r="B647" s="2">
        <v>4675</v>
      </c>
      <c r="C647" s="3">
        <f>+(NVDA_data[[#This Row],[Último]]/B646)-1</f>
        <v>1.8518518518518601E-2</v>
      </c>
    </row>
    <row r="648" spans="1:3" x14ac:dyDescent="0.25">
      <c r="A648" s="1">
        <v>45138</v>
      </c>
      <c r="B648" s="2">
        <v>4673</v>
      </c>
      <c r="C648" s="3">
        <f>+(NVDA_data[[#This Row],[Último]]/B647)-1</f>
        <v>-4.2780748663107104E-4</v>
      </c>
    </row>
    <row r="649" spans="1:3" x14ac:dyDescent="0.25">
      <c r="A649" s="1">
        <v>45139</v>
      </c>
      <c r="B649" s="2">
        <v>4651</v>
      </c>
      <c r="C649" s="3">
        <f>+(NVDA_data[[#This Row],[Último]]/B648)-1</f>
        <v>-4.7078964262786682E-3</v>
      </c>
    </row>
    <row r="650" spans="1:3" x14ac:dyDescent="0.25">
      <c r="A650" s="1">
        <v>45140</v>
      </c>
      <c r="B650" s="2">
        <v>4427</v>
      </c>
      <c r="C650" s="3">
        <f>+(NVDA_data[[#This Row],[Último]]/B649)-1</f>
        <v>-4.8161685658998032E-2</v>
      </c>
    </row>
    <row r="651" spans="1:3" x14ac:dyDescent="0.25">
      <c r="A651" s="1">
        <v>45141</v>
      </c>
      <c r="B651" s="2">
        <v>4451</v>
      </c>
      <c r="C651" s="3">
        <f>+(NVDA_data[[#This Row],[Último]]/B650)-1</f>
        <v>5.4212785181839696E-3</v>
      </c>
    </row>
    <row r="652" spans="1:3" x14ac:dyDescent="0.25">
      <c r="A652" s="1">
        <v>45142</v>
      </c>
      <c r="B652" s="2">
        <v>4468</v>
      </c>
      <c r="C652" s="3">
        <f>+(NVDA_data[[#This Row],[Último]]/B651)-1</f>
        <v>3.8193664345091971E-3</v>
      </c>
    </row>
    <row r="653" spans="1:3" x14ac:dyDescent="0.25">
      <c r="A653" s="1">
        <v>45145</v>
      </c>
      <c r="B653" s="2">
        <v>4542</v>
      </c>
      <c r="C653" s="3">
        <f>+(NVDA_data[[#This Row],[Último]]/B652)-1</f>
        <v>1.6562220232766434E-2</v>
      </c>
    </row>
    <row r="654" spans="1:3" x14ac:dyDescent="0.25">
      <c r="A654" s="1">
        <v>45146</v>
      </c>
      <c r="B654" s="2">
        <v>4466</v>
      </c>
      <c r="C654" s="3">
        <f>+(NVDA_data[[#This Row],[Último]]/B653)-1</f>
        <v>-1.6732716864817254E-2</v>
      </c>
    </row>
    <row r="655" spans="1:3" x14ac:dyDescent="0.25">
      <c r="A655" s="1">
        <v>45147</v>
      </c>
      <c r="B655" s="2">
        <v>4255</v>
      </c>
      <c r="C655" s="3">
        <f>+(NVDA_data[[#This Row],[Último]]/B654)-1</f>
        <v>-4.7245857590685225E-2</v>
      </c>
    </row>
    <row r="656" spans="1:3" x14ac:dyDescent="0.25">
      <c r="A656" s="1">
        <v>45148</v>
      </c>
      <c r="B656" s="2">
        <v>4239</v>
      </c>
      <c r="C656" s="3">
        <f>+(NVDA_data[[#This Row],[Último]]/B655)-1</f>
        <v>-3.7602820211516397E-3</v>
      </c>
    </row>
    <row r="657" spans="1:3" x14ac:dyDescent="0.25">
      <c r="A657" s="1">
        <v>45149</v>
      </c>
      <c r="B657" s="2">
        <v>4085</v>
      </c>
      <c r="C657" s="3">
        <f>+(NVDA_data[[#This Row],[Último]]/B656)-1</f>
        <v>-3.6329322953526755E-2</v>
      </c>
    </row>
    <row r="658" spans="1:3" x14ac:dyDescent="0.25">
      <c r="A658" s="1">
        <v>45152</v>
      </c>
      <c r="B658" s="2">
        <v>4375</v>
      </c>
      <c r="C658" s="3">
        <f>+(NVDA_data[[#This Row],[Último]]/B657)-1</f>
        <v>7.0991432068543414E-2</v>
      </c>
    </row>
    <row r="659" spans="1:3" x14ac:dyDescent="0.25">
      <c r="A659" s="1">
        <v>45153</v>
      </c>
      <c r="B659" s="2">
        <v>4394</v>
      </c>
      <c r="C659" s="3">
        <f>+(NVDA_data[[#This Row],[Último]]/B658)-1</f>
        <v>4.3428571428572038E-3</v>
      </c>
    </row>
    <row r="660" spans="1:3" x14ac:dyDescent="0.25">
      <c r="A660" s="1">
        <v>45154</v>
      </c>
      <c r="B660" s="2">
        <v>4349</v>
      </c>
      <c r="C660" s="3">
        <f>+(NVDA_data[[#This Row],[Último]]/B659)-1</f>
        <v>-1.0241238051888923E-2</v>
      </c>
    </row>
    <row r="661" spans="1:3" x14ac:dyDescent="0.25">
      <c r="A661" s="1">
        <v>45155</v>
      </c>
      <c r="B661" s="2">
        <v>4334</v>
      </c>
      <c r="C661" s="3">
        <f>+(NVDA_data[[#This Row],[Último]]/B660)-1</f>
        <v>-3.4490687514371343E-3</v>
      </c>
    </row>
    <row r="662" spans="1:3" x14ac:dyDescent="0.25">
      <c r="A662" s="1">
        <v>45156</v>
      </c>
      <c r="B662" s="2">
        <v>4330</v>
      </c>
      <c r="C662" s="3">
        <f>+(NVDA_data[[#This Row],[Último]]/B661)-1</f>
        <v>-9.2293493308726049E-4</v>
      </c>
    </row>
    <row r="663" spans="1:3" x14ac:dyDescent="0.25">
      <c r="A663" s="1">
        <v>45159</v>
      </c>
      <c r="B663" s="2">
        <v>4697</v>
      </c>
      <c r="C663" s="3">
        <f>+(NVDA_data[[#This Row],[Último]]/B662)-1</f>
        <v>8.4757505773672026E-2</v>
      </c>
    </row>
    <row r="664" spans="1:3" x14ac:dyDescent="0.25">
      <c r="A664" s="1">
        <v>45160</v>
      </c>
      <c r="B664" s="2">
        <v>4567</v>
      </c>
      <c r="C664" s="3">
        <f>+(NVDA_data[[#This Row],[Último]]/B663)-1</f>
        <v>-2.767724079199485E-2</v>
      </c>
    </row>
    <row r="665" spans="1:3" x14ac:dyDescent="0.25">
      <c r="A665" s="1">
        <v>45161</v>
      </c>
      <c r="B665" s="2">
        <v>4712</v>
      </c>
      <c r="C665" s="3">
        <f>+(NVDA_data[[#This Row],[Último]]/B664)-1</f>
        <v>3.1749507335230964E-2</v>
      </c>
    </row>
    <row r="666" spans="1:3" x14ac:dyDescent="0.25">
      <c r="A666" s="1">
        <v>45162</v>
      </c>
      <c r="B666" s="2">
        <v>4716</v>
      </c>
      <c r="C666" s="3">
        <f>+(NVDA_data[[#This Row],[Último]]/B665)-1</f>
        <v>8.4889643463492703E-4</v>
      </c>
    </row>
    <row r="667" spans="1:3" x14ac:dyDescent="0.25">
      <c r="A667" s="1">
        <v>45163</v>
      </c>
      <c r="B667" s="2">
        <v>4602</v>
      </c>
      <c r="C667" s="3">
        <f>+(NVDA_data[[#This Row],[Último]]/B666)-1</f>
        <v>-2.4173027989821905E-2</v>
      </c>
    </row>
    <row r="668" spans="1:3" x14ac:dyDescent="0.25">
      <c r="A668" s="1">
        <v>45166</v>
      </c>
      <c r="B668" s="2">
        <v>4683</v>
      </c>
      <c r="C668" s="3">
        <f>+(NVDA_data[[#This Row],[Último]]/B667)-1</f>
        <v>1.7601043024771945E-2</v>
      </c>
    </row>
    <row r="669" spans="1:3" x14ac:dyDescent="0.25">
      <c r="A669" s="1">
        <v>45167</v>
      </c>
      <c r="B669" s="2">
        <v>4878</v>
      </c>
      <c r="C669" s="3">
        <f>+(NVDA_data[[#This Row],[Último]]/B668)-1</f>
        <v>4.1639974375400346E-2</v>
      </c>
    </row>
    <row r="670" spans="1:3" x14ac:dyDescent="0.25">
      <c r="A670" s="1">
        <v>45168</v>
      </c>
      <c r="B670" s="2">
        <v>4926</v>
      </c>
      <c r="C670" s="3">
        <f>+(NVDA_data[[#This Row],[Último]]/B669)-1</f>
        <v>9.8400984009840986E-3</v>
      </c>
    </row>
    <row r="671" spans="1:3" x14ac:dyDescent="0.25">
      <c r="A671" s="1">
        <v>45169</v>
      </c>
      <c r="B671" s="2">
        <v>4935</v>
      </c>
      <c r="C671" s="3">
        <f>+(NVDA_data[[#This Row],[Último]]/B670)-1</f>
        <v>1.8270401948843329E-3</v>
      </c>
    </row>
    <row r="672" spans="1:3" x14ac:dyDescent="0.25">
      <c r="A672" s="1">
        <v>45170</v>
      </c>
      <c r="B672" s="2">
        <v>4851</v>
      </c>
      <c r="C672" s="3">
        <f>+(NVDA_data[[#This Row],[Último]]/B671)-1</f>
        <v>-1.7021276595744705E-2</v>
      </c>
    </row>
    <row r="673" spans="1:3" x14ac:dyDescent="0.25">
      <c r="A673" s="1">
        <v>45174</v>
      </c>
      <c r="B673" s="2">
        <v>4855</v>
      </c>
      <c r="C673" s="3">
        <f>+(NVDA_data[[#This Row],[Último]]/B672)-1</f>
        <v>8.2457225314369609E-4</v>
      </c>
    </row>
    <row r="674" spans="1:3" x14ac:dyDescent="0.25">
      <c r="A674" s="1">
        <v>45175</v>
      </c>
      <c r="B674" s="2">
        <v>4706</v>
      </c>
      <c r="C674" s="3">
        <f>+(NVDA_data[[#This Row],[Último]]/B673)-1</f>
        <v>-3.0690010298661141E-2</v>
      </c>
    </row>
    <row r="675" spans="1:3" x14ac:dyDescent="0.25">
      <c r="A675" s="1">
        <v>45176</v>
      </c>
      <c r="B675" s="2">
        <v>4624</v>
      </c>
      <c r="C675" s="3">
        <f>+(NVDA_data[[#This Row],[Último]]/B674)-1</f>
        <v>-1.7424564385890351E-2</v>
      </c>
    </row>
    <row r="676" spans="1:3" x14ac:dyDescent="0.25">
      <c r="A676" s="1">
        <v>45177</v>
      </c>
      <c r="B676" s="2">
        <v>4557</v>
      </c>
      <c r="C676" s="3">
        <f>+(NVDA_data[[#This Row],[Último]]/B675)-1</f>
        <v>-1.4489619377162644E-2</v>
      </c>
    </row>
    <row r="677" spans="1:3" x14ac:dyDescent="0.25">
      <c r="A677" s="1">
        <v>45180</v>
      </c>
      <c r="B677" s="2">
        <v>4518</v>
      </c>
      <c r="C677" s="3">
        <f>+(NVDA_data[[#This Row],[Último]]/B676)-1</f>
        <v>-8.5582620144831756E-3</v>
      </c>
    </row>
    <row r="678" spans="1:3" x14ac:dyDescent="0.25">
      <c r="A678" s="1">
        <v>45181</v>
      </c>
      <c r="B678" s="2">
        <v>4487</v>
      </c>
      <c r="C678" s="3">
        <f>+(NVDA_data[[#This Row],[Último]]/B677)-1</f>
        <v>-6.861443116423227E-3</v>
      </c>
    </row>
    <row r="679" spans="1:3" x14ac:dyDescent="0.25">
      <c r="A679" s="1">
        <v>45182</v>
      </c>
      <c r="B679" s="2">
        <v>4549</v>
      </c>
      <c r="C679" s="3">
        <f>+(NVDA_data[[#This Row],[Último]]/B678)-1</f>
        <v>1.3817695564965371E-2</v>
      </c>
    </row>
    <row r="680" spans="1:3" x14ac:dyDescent="0.25">
      <c r="A680" s="1">
        <v>45183</v>
      </c>
      <c r="B680" s="2">
        <v>4558</v>
      </c>
      <c r="C680" s="3">
        <f>+(NVDA_data[[#This Row],[Último]]/B679)-1</f>
        <v>1.9784568036931294E-3</v>
      </c>
    </row>
    <row r="681" spans="1:3" x14ac:dyDescent="0.25">
      <c r="A681" s="1">
        <v>45184</v>
      </c>
      <c r="B681" s="2">
        <v>4390</v>
      </c>
      <c r="C681" s="3">
        <f>+(NVDA_data[[#This Row],[Último]]/B680)-1</f>
        <v>-3.6858271171566481E-2</v>
      </c>
    </row>
    <row r="682" spans="1:3" x14ac:dyDescent="0.25">
      <c r="A682" s="1">
        <v>45187</v>
      </c>
      <c r="B682" s="2">
        <v>4397</v>
      </c>
      <c r="C682" s="3">
        <f>+(NVDA_data[[#This Row],[Último]]/B681)-1</f>
        <v>1.5945330296127658E-3</v>
      </c>
    </row>
    <row r="683" spans="1:3" x14ac:dyDescent="0.25">
      <c r="A683" s="1">
        <v>45188</v>
      </c>
      <c r="B683" s="2">
        <v>4352</v>
      </c>
      <c r="C683" s="3">
        <f>+(NVDA_data[[#This Row],[Último]]/B682)-1</f>
        <v>-1.0234250625426378E-2</v>
      </c>
    </row>
    <row r="684" spans="1:3" x14ac:dyDescent="0.25">
      <c r="A684" s="1">
        <v>45189</v>
      </c>
      <c r="B684" s="2">
        <v>4224</v>
      </c>
      <c r="C684" s="3">
        <f>+(NVDA_data[[#This Row],[Último]]/B683)-1</f>
        <v>-2.9411764705882359E-2</v>
      </c>
    </row>
    <row r="685" spans="1:3" x14ac:dyDescent="0.25">
      <c r="A685" s="1">
        <v>45190</v>
      </c>
      <c r="B685" s="2">
        <v>4102</v>
      </c>
      <c r="C685" s="3">
        <f>+(NVDA_data[[#This Row],[Último]]/B684)-1</f>
        <v>-2.8882575757575801E-2</v>
      </c>
    </row>
    <row r="686" spans="1:3" x14ac:dyDescent="0.25">
      <c r="A686" s="1">
        <v>45191</v>
      </c>
      <c r="B686" s="2">
        <v>4161</v>
      </c>
      <c r="C686" s="3">
        <f>+(NVDA_data[[#This Row],[Último]]/B685)-1</f>
        <v>1.4383227693807843E-2</v>
      </c>
    </row>
    <row r="687" spans="1:3" x14ac:dyDescent="0.25">
      <c r="A687" s="1">
        <v>45194</v>
      </c>
      <c r="B687" s="2">
        <v>4222</v>
      </c>
      <c r="C687" s="3">
        <f>+(NVDA_data[[#This Row],[Último]]/B686)-1</f>
        <v>1.4659937515020482E-2</v>
      </c>
    </row>
    <row r="688" spans="1:3" x14ac:dyDescent="0.25">
      <c r="A688" s="1">
        <v>45195</v>
      </c>
      <c r="B688" s="2">
        <v>4191</v>
      </c>
      <c r="C688" s="3">
        <f>+(NVDA_data[[#This Row],[Último]]/B687)-1</f>
        <v>-7.3424917100900489E-3</v>
      </c>
    </row>
    <row r="689" spans="1:3" x14ac:dyDescent="0.25">
      <c r="A689" s="1">
        <v>45196</v>
      </c>
      <c r="B689" s="2">
        <v>4247</v>
      </c>
      <c r="C689" s="3">
        <f>+(NVDA_data[[#This Row],[Último]]/B688)-1</f>
        <v>1.336196611787166E-2</v>
      </c>
    </row>
    <row r="690" spans="1:3" x14ac:dyDescent="0.25">
      <c r="A690" s="1">
        <v>45197</v>
      </c>
      <c r="B690" s="2">
        <v>4309</v>
      </c>
      <c r="C690" s="3">
        <f>+(NVDA_data[[#This Row],[Último]]/B689)-1</f>
        <v>1.4598540145985384E-2</v>
      </c>
    </row>
    <row r="691" spans="1:3" x14ac:dyDescent="0.25">
      <c r="A691" s="1">
        <v>45198</v>
      </c>
      <c r="B691" s="2">
        <v>4350</v>
      </c>
      <c r="C691" s="3">
        <f>+(NVDA_data[[#This Row],[Último]]/B690)-1</f>
        <v>9.5149686702251657E-3</v>
      </c>
    </row>
    <row r="692" spans="1:3" x14ac:dyDescent="0.25">
      <c r="A692" s="1">
        <v>45201</v>
      </c>
      <c r="B692" s="2">
        <v>4478</v>
      </c>
      <c r="C692" s="3">
        <f>+(NVDA_data[[#This Row],[Último]]/B691)-1</f>
        <v>2.9425287356321883E-2</v>
      </c>
    </row>
    <row r="693" spans="1:3" x14ac:dyDescent="0.25">
      <c r="A693" s="1">
        <v>45202</v>
      </c>
      <c r="B693" s="2">
        <v>4352</v>
      </c>
      <c r="C693" s="3">
        <f>+(NVDA_data[[#This Row],[Último]]/B692)-1</f>
        <v>-2.8137561411344381E-2</v>
      </c>
    </row>
    <row r="694" spans="1:3" x14ac:dyDescent="0.25">
      <c r="A694" s="1">
        <v>45203</v>
      </c>
      <c r="B694" s="2">
        <v>4404</v>
      </c>
      <c r="C694" s="3">
        <f>+(NVDA_data[[#This Row],[Último]]/B693)-1</f>
        <v>1.1948529411764719E-2</v>
      </c>
    </row>
    <row r="695" spans="1:3" x14ac:dyDescent="0.25">
      <c r="A695" s="1">
        <v>45204</v>
      </c>
      <c r="B695" s="2">
        <v>4469</v>
      </c>
      <c r="C695" s="3">
        <f>+(NVDA_data[[#This Row],[Último]]/B694)-1</f>
        <v>1.4759309718437752E-2</v>
      </c>
    </row>
    <row r="696" spans="1:3" x14ac:dyDescent="0.25">
      <c r="A696" s="1">
        <v>45205</v>
      </c>
      <c r="B696" s="2">
        <v>4576</v>
      </c>
      <c r="C696" s="3">
        <f>+(NVDA_data[[#This Row],[Último]]/B695)-1</f>
        <v>2.3942716491385019E-2</v>
      </c>
    </row>
    <row r="697" spans="1:3" x14ac:dyDescent="0.25">
      <c r="A697" s="1">
        <v>45208</v>
      </c>
      <c r="B697" s="2">
        <v>4527</v>
      </c>
      <c r="C697" s="3">
        <f>+(NVDA_data[[#This Row],[Último]]/B696)-1</f>
        <v>-1.0708041958041981E-2</v>
      </c>
    </row>
    <row r="698" spans="1:3" x14ac:dyDescent="0.25">
      <c r="A698" s="1">
        <v>45209</v>
      </c>
      <c r="B698" s="2">
        <v>4580</v>
      </c>
      <c r="C698" s="3">
        <f>+(NVDA_data[[#This Row],[Último]]/B697)-1</f>
        <v>1.1707532582283964E-2</v>
      </c>
    </row>
    <row r="699" spans="1:3" x14ac:dyDescent="0.25">
      <c r="A699" s="1">
        <v>45210</v>
      </c>
      <c r="B699" s="2">
        <v>4681</v>
      </c>
      <c r="C699" s="3">
        <f>+(NVDA_data[[#This Row],[Último]]/B698)-1</f>
        <v>2.2052401746724959E-2</v>
      </c>
    </row>
    <row r="700" spans="1:3" x14ac:dyDescent="0.25">
      <c r="A700" s="1">
        <v>45211</v>
      </c>
      <c r="B700" s="2">
        <v>4694</v>
      </c>
      <c r="C700" s="3">
        <f>+(NVDA_data[[#This Row],[Último]]/B699)-1</f>
        <v>2.7771843623156656E-3</v>
      </c>
    </row>
    <row r="701" spans="1:3" x14ac:dyDescent="0.25">
      <c r="A701" s="1">
        <v>45212</v>
      </c>
      <c r="B701" s="2">
        <v>4546</v>
      </c>
      <c r="C701" s="3">
        <f>+(NVDA_data[[#This Row],[Último]]/B700)-1</f>
        <v>-3.1529612270984275E-2</v>
      </c>
    </row>
    <row r="702" spans="1:3" x14ac:dyDescent="0.25">
      <c r="A702" s="1">
        <v>45215</v>
      </c>
      <c r="B702" s="2">
        <v>4610</v>
      </c>
      <c r="C702" s="3">
        <f>+(NVDA_data[[#This Row],[Último]]/B701)-1</f>
        <v>1.4078310602727573E-2</v>
      </c>
    </row>
    <row r="703" spans="1:3" x14ac:dyDescent="0.25">
      <c r="A703" s="1">
        <v>45216</v>
      </c>
      <c r="B703" s="2">
        <v>4394</v>
      </c>
      <c r="C703" s="3">
        <f>+(NVDA_data[[#This Row],[Último]]/B702)-1</f>
        <v>-4.6854663774403504E-2</v>
      </c>
    </row>
    <row r="704" spans="1:3" x14ac:dyDescent="0.25">
      <c r="A704" s="1">
        <v>45217</v>
      </c>
      <c r="B704" s="2">
        <v>4220</v>
      </c>
      <c r="C704" s="3">
        <f>+(NVDA_data[[#This Row],[Último]]/B703)-1</f>
        <v>-3.959945380063723E-2</v>
      </c>
    </row>
    <row r="705" spans="1:3" x14ac:dyDescent="0.25">
      <c r="A705" s="1">
        <v>45218</v>
      </c>
      <c r="B705" s="2">
        <v>4210</v>
      </c>
      <c r="C705" s="3">
        <f>+(NVDA_data[[#This Row],[Último]]/B704)-1</f>
        <v>-2.3696682464454666E-3</v>
      </c>
    </row>
    <row r="706" spans="1:3" x14ac:dyDescent="0.25">
      <c r="A706" s="1">
        <v>45219</v>
      </c>
      <c r="B706" s="2">
        <v>4139</v>
      </c>
      <c r="C706" s="3">
        <f>+(NVDA_data[[#This Row],[Último]]/B705)-1</f>
        <v>-1.6864608076009535E-2</v>
      </c>
    </row>
    <row r="707" spans="1:3" x14ac:dyDescent="0.25">
      <c r="A707" s="1">
        <v>45222</v>
      </c>
      <c r="B707" s="2">
        <v>4297</v>
      </c>
      <c r="C707" s="3">
        <f>+(NVDA_data[[#This Row],[Último]]/B706)-1</f>
        <v>3.8173471853104601E-2</v>
      </c>
    </row>
    <row r="708" spans="1:3" x14ac:dyDescent="0.25">
      <c r="A708" s="1">
        <v>45223</v>
      </c>
      <c r="B708" s="2">
        <v>4366</v>
      </c>
      <c r="C708" s="3">
        <f>+(NVDA_data[[#This Row],[Último]]/B707)-1</f>
        <v>1.605771468466366E-2</v>
      </c>
    </row>
    <row r="709" spans="1:3" x14ac:dyDescent="0.25">
      <c r="A709" s="1">
        <v>45224</v>
      </c>
      <c r="B709" s="2">
        <v>4178</v>
      </c>
      <c r="C709" s="3">
        <f>+(NVDA_data[[#This Row],[Último]]/B708)-1</f>
        <v>-4.3060009161704049E-2</v>
      </c>
    </row>
    <row r="710" spans="1:3" x14ac:dyDescent="0.25">
      <c r="A710" s="1">
        <v>45225</v>
      </c>
      <c r="B710" s="2">
        <v>4033</v>
      </c>
      <c r="C710" s="3">
        <f>+(NVDA_data[[#This Row],[Último]]/B709)-1</f>
        <v>-3.4705600765916667E-2</v>
      </c>
    </row>
    <row r="711" spans="1:3" x14ac:dyDescent="0.25">
      <c r="A711" s="1">
        <v>45226</v>
      </c>
      <c r="B711" s="2">
        <v>4050</v>
      </c>
      <c r="C711" s="3">
        <f>+(NVDA_data[[#This Row],[Último]]/B710)-1</f>
        <v>4.215224398710582E-3</v>
      </c>
    </row>
    <row r="712" spans="1:3" x14ac:dyDescent="0.25">
      <c r="A712" s="1">
        <v>45229</v>
      </c>
      <c r="B712" s="2">
        <v>4116</v>
      </c>
      <c r="C712" s="3">
        <f>+(NVDA_data[[#This Row],[Último]]/B711)-1</f>
        <v>1.6296296296296253E-2</v>
      </c>
    </row>
    <row r="713" spans="1:3" x14ac:dyDescent="0.25">
      <c r="A713" s="1">
        <v>45230</v>
      </c>
      <c r="B713" s="2">
        <v>4078</v>
      </c>
      <c r="C713" s="3">
        <f>+(NVDA_data[[#This Row],[Último]]/B712)-1</f>
        <v>-9.2322643343051292E-3</v>
      </c>
    </row>
    <row r="714" spans="1:3" x14ac:dyDescent="0.25">
      <c r="A714" s="1">
        <v>45231</v>
      </c>
      <c r="B714" s="2">
        <v>4233</v>
      </c>
      <c r="C714" s="3">
        <f>+(NVDA_data[[#This Row],[Último]]/B713)-1</f>
        <v>3.8008827856792493E-2</v>
      </c>
    </row>
    <row r="715" spans="1:3" x14ac:dyDescent="0.25">
      <c r="A715" s="1">
        <v>45232</v>
      </c>
      <c r="B715" s="2">
        <v>4351</v>
      </c>
      <c r="C715" s="3">
        <f>+(NVDA_data[[#This Row],[Último]]/B714)-1</f>
        <v>2.7876210725253925E-2</v>
      </c>
    </row>
    <row r="716" spans="1:3" x14ac:dyDescent="0.25">
      <c r="A716" s="1">
        <v>45233</v>
      </c>
      <c r="B716" s="2">
        <v>4501</v>
      </c>
      <c r="C716" s="3">
        <f>+(NVDA_data[[#This Row],[Último]]/B715)-1</f>
        <v>3.4474833371638702E-2</v>
      </c>
    </row>
    <row r="717" spans="1:3" x14ac:dyDescent="0.25">
      <c r="A717" s="1">
        <v>45236</v>
      </c>
      <c r="B717" s="2">
        <v>4575</v>
      </c>
      <c r="C717" s="3">
        <f>+(NVDA_data[[#This Row],[Último]]/B716)-1</f>
        <v>1.6440790935347671E-2</v>
      </c>
    </row>
    <row r="718" spans="1:3" x14ac:dyDescent="0.25">
      <c r="A718" s="1">
        <v>45237</v>
      </c>
      <c r="B718" s="2">
        <v>4596</v>
      </c>
      <c r="C718" s="3">
        <f>+(NVDA_data[[#This Row],[Último]]/B717)-1</f>
        <v>4.590163934426128E-3</v>
      </c>
    </row>
    <row r="719" spans="1:3" x14ac:dyDescent="0.25">
      <c r="A719" s="1">
        <v>45238</v>
      </c>
      <c r="B719" s="2">
        <v>4657</v>
      </c>
      <c r="C719" s="3">
        <f>+(NVDA_data[[#This Row],[Último]]/B718)-1</f>
        <v>1.3272410791993039E-2</v>
      </c>
    </row>
    <row r="720" spans="1:3" x14ac:dyDescent="0.25">
      <c r="A720" s="1">
        <v>45239</v>
      </c>
      <c r="B720" s="2">
        <v>4695</v>
      </c>
      <c r="C720" s="3">
        <f>+(NVDA_data[[#This Row],[Último]]/B719)-1</f>
        <v>8.1597595018252367E-3</v>
      </c>
    </row>
    <row r="721" spans="1:3" x14ac:dyDescent="0.25">
      <c r="A721" s="1">
        <v>45240</v>
      </c>
      <c r="B721" s="2">
        <v>4833</v>
      </c>
      <c r="C721" s="3">
        <f>+(NVDA_data[[#This Row],[Último]]/B720)-1</f>
        <v>2.9392971246006372E-2</v>
      </c>
    </row>
    <row r="722" spans="1:3" x14ac:dyDescent="0.25">
      <c r="A722" s="1">
        <v>45243</v>
      </c>
      <c r="B722" s="2">
        <v>4862</v>
      </c>
      <c r="C722" s="3">
        <f>+(NVDA_data[[#This Row],[Último]]/B721)-1</f>
        <v>6.0004138216429581E-3</v>
      </c>
    </row>
    <row r="723" spans="1:3" x14ac:dyDescent="0.25">
      <c r="A723" s="1">
        <v>45244</v>
      </c>
      <c r="B723" s="2">
        <v>4966</v>
      </c>
      <c r="C723" s="3">
        <f>+(NVDA_data[[#This Row],[Último]]/B722)-1</f>
        <v>2.1390374331550888E-2</v>
      </c>
    </row>
    <row r="724" spans="1:3" x14ac:dyDescent="0.25">
      <c r="A724" s="1">
        <v>45245</v>
      </c>
      <c r="B724" s="2">
        <v>4889</v>
      </c>
      <c r="C724" s="3">
        <f>+(NVDA_data[[#This Row],[Último]]/B723)-1</f>
        <v>-1.5505436971405606E-2</v>
      </c>
    </row>
    <row r="725" spans="1:3" x14ac:dyDescent="0.25">
      <c r="A725" s="1">
        <v>45246</v>
      </c>
      <c r="B725" s="2">
        <v>4948</v>
      </c>
      <c r="C725" s="3">
        <f>+(NVDA_data[[#This Row],[Último]]/B724)-1</f>
        <v>1.2067907547555823E-2</v>
      </c>
    </row>
    <row r="726" spans="1:3" x14ac:dyDescent="0.25">
      <c r="A726" s="1">
        <v>45247</v>
      </c>
      <c r="B726" s="2">
        <v>4930</v>
      </c>
      <c r="C726" s="3">
        <f>+(NVDA_data[[#This Row],[Último]]/B725)-1</f>
        <v>-3.637833468067897E-3</v>
      </c>
    </row>
    <row r="727" spans="1:3" x14ac:dyDescent="0.25">
      <c r="A727" s="1">
        <v>45250</v>
      </c>
      <c r="B727" s="2">
        <v>5041</v>
      </c>
      <c r="C727" s="3">
        <f>+(NVDA_data[[#This Row],[Último]]/B726)-1</f>
        <v>2.2515212981744526E-2</v>
      </c>
    </row>
    <row r="728" spans="1:3" x14ac:dyDescent="0.25">
      <c r="A728" s="1">
        <v>45251</v>
      </c>
      <c r="B728" s="2">
        <v>4994</v>
      </c>
      <c r="C728" s="3">
        <f>+(NVDA_data[[#This Row],[Último]]/B727)-1</f>
        <v>-9.3235469152945782E-3</v>
      </c>
    </row>
    <row r="729" spans="1:3" x14ac:dyDescent="0.25">
      <c r="A729" s="1">
        <v>45252</v>
      </c>
      <c r="B729" s="2">
        <v>4872</v>
      </c>
      <c r="C729" s="3">
        <f>+(NVDA_data[[#This Row],[Último]]/B728)-1</f>
        <v>-2.4429315178213895E-2</v>
      </c>
    </row>
    <row r="730" spans="1:3" x14ac:dyDescent="0.25">
      <c r="A730" s="1">
        <v>45254</v>
      </c>
      <c r="B730" s="2">
        <v>4778</v>
      </c>
      <c r="C730" s="3">
        <f>+(NVDA_data[[#This Row],[Último]]/B729)-1</f>
        <v>-1.9293924466338264E-2</v>
      </c>
    </row>
    <row r="731" spans="1:3" x14ac:dyDescent="0.25">
      <c r="A731" s="1">
        <v>45257</v>
      </c>
      <c r="B731" s="2">
        <v>4824</v>
      </c>
      <c r="C731" s="3">
        <f>+(NVDA_data[[#This Row],[Último]]/B730)-1</f>
        <v>9.6274591879448312E-3</v>
      </c>
    </row>
    <row r="732" spans="1:3" x14ac:dyDescent="0.25">
      <c r="A732" s="1">
        <v>45258</v>
      </c>
      <c r="B732" s="2">
        <v>4782</v>
      </c>
      <c r="C732" s="3">
        <f>+(NVDA_data[[#This Row],[Último]]/B731)-1</f>
        <v>-8.7064676616915859E-3</v>
      </c>
    </row>
    <row r="733" spans="1:3" x14ac:dyDescent="0.25">
      <c r="A733" s="1">
        <v>45259</v>
      </c>
      <c r="B733" s="2">
        <v>4814</v>
      </c>
      <c r="C733" s="3">
        <f>+(NVDA_data[[#This Row],[Último]]/B732)-1</f>
        <v>6.6917607695524683E-3</v>
      </c>
    </row>
    <row r="734" spans="1:3" x14ac:dyDescent="0.25">
      <c r="A734" s="1">
        <v>45260</v>
      </c>
      <c r="B734" s="2">
        <v>4677</v>
      </c>
      <c r="C734" s="3">
        <f>+(NVDA_data[[#This Row],[Último]]/B733)-1</f>
        <v>-2.8458662235147481E-2</v>
      </c>
    </row>
    <row r="735" spans="1:3" x14ac:dyDescent="0.25">
      <c r="A735" s="1">
        <v>45261</v>
      </c>
      <c r="B735" s="2">
        <v>4676</v>
      </c>
      <c r="C735" s="3">
        <f>+(NVDA_data[[#This Row],[Último]]/B734)-1</f>
        <v>-2.1381227282446513E-4</v>
      </c>
    </row>
    <row r="736" spans="1:3" x14ac:dyDescent="0.25">
      <c r="A736" s="1">
        <v>45264</v>
      </c>
      <c r="B736" s="2">
        <v>4551</v>
      </c>
      <c r="C736" s="3">
        <f>+(NVDA_data[[#This Row],[Último]]/B735)-1</f>
        <v>-2.6732249786141971E-2</v>
      </c>
    </row>
    <row r="737" spans="1:3" x14ac:dyDescent="0.25">
      <c r="A737" s="1">
        <v>45265</v>
      </c>
      <c r="B737" s="2">
        <v>4657</v>
      </c>
      <c r="C737" s="3">
        <f>+(NVDA_data[[#This Row],[Último]]/B736)-1</f>
        <v>2.3291584267194132E-2</v>
      </c>
    </row>
    <row r="738" spans="1:3" x14ac:dyDescent="0.25">
      <c r="A738" s="1">
        <v>45266</v>
      </c>
      <c r="B738" s="2">
        <v>4550</v>
      </c>
      <c r="C738" s="3">
        <f>+(NVDA_data[[#This Row],[Último]]/B737)-1</f>
        <v>-2.2976164913034114E-2</v>
      </c>
    </row>
    <row r="739" spans="1:3" x14ac:dyDescent="0.25">
      <c r="A739" s="1">
        <v>45267</v>
      </c>
      <c r="B739" s="2">
        <v>4660</v>
      </c>
      <c r="C739" s="3">
        <f>+(NVDA_data[[#This Row],[Último]]/B738)-1</f>
        <v>2.417582417582409E-2</v>
      </c>
    </row>
    <row r="740" spans="1:3" x14ac:dyDescent="0.25">
      <c r="A740" s="1">
        <v>45268</v>
      </c>
      <c r="B740" s="2">
        <v>4751</v>
      </c>
      <c r="C740" s="3">
        <f>+(NVDA_data[[#This Row],[Último]]/B739)-1</f>
        <v>1.9527896995708227E-2</v>
      </c>
    </row>
    <row r="741" spans="1:3" x14ac:dyDescent="0.25">
      <c r="A741" s="1">
        <v>45271</v>
      </c>
      <c r="B741" s="2">
        <v>4663</v>
      </c>
      <c r="C741" s="3">
        <f>+(NVDA_data[[#This Row],[Último]]/B740)-1</f>
        <v>-1.8522416333403458E-2</v>
      </c>
    </row>
    <row r="742" spans="1:3" x14ac:dyDescent="0.25">
      <c r="A742" s="1">
        <v>45272</v>
      </c>
      <c r="B742" s="2">
        <v>4766</v>
      </c>
      <c r="C742" s="3">
        <f>+(NVDA_data[[#This Row],[Último]]/B741)-1</f>
        <v>2.2088784044606458E-2</v>
      </c>
    </row>
    <row r="743" spans="1:3" x14ac:dyDescent="0.25">
      <c r="A743" s="1">
        <v>45273</v>
      </c>
      <c r="B743" s="2">
        <v>4809</v>
      </c>
      <c r="C743" s="3">
        <f>+(NVDA_data[[#This Row],[Último]]/B742)-1</f>
        <v>9.0222408728493075E-3</v>
      </c>
    </row>
    <row r="744" spans="1:3" x14ac:dyDescent="0.25">
      <c r="A744" s="1">
        <v>45274</v>
      </c>
      <c r="B744" s="2">
        <v>4835</v>
      </c>
      <c r="C744" s="3">
        <f>+(NVDA_data[[#This Row],[Último]]/B743)-1</f>
        <v>5.4065294239966644E-3</v>
      </c>
    </row>
    <row r="745" spans="1:3" x14ac:dyDescent="0.25">
      <c r="A745" s="1">
        <v>45275</v>
      </c>
      <c r="B745" s="2">
        <v>4889</v>
      </c>
      <c r="C745" s="3">
        <f>+(NVDA_data[[#This Row],[Último]]/B744)-1</f>
        <v>1.1168562564632945E-2</v>
      </c>
    </row>
    <row r="746" spans="1:3" x14ac:dyDescent="0.25">
      <c r="A746" s="1">
        <v>45278</v>
      </c>
      <c r="B746" s="2">
        <v>5008</v>
      </c>
      <c r="C746" s="3">
        <f>+(NVDA_data[[#This Row],[Último]]/B745)-1</f>
        <v>2.4340355901002253E-2</v>
      </c>
    </row>
    <row r="747" spans="1:3" x14ac:dyDescent="0.25">
      <c r="A747" s="1">
        <v>45279</v>
      </c>
      <c r="B747" s="2">
        <v>4960</v>
      </c>
      <c r="C747" s="3">
        <f>+(NVDA_data[[#This Row],[Último]]/B746)-1</f>
        <v>-9.5846645367412275E-3</v>
      </c>
    </row>
    <row r="748" spans="1:3" x14ac:dyDescent="0.25">
      <c r="A748" s="1">
        <v>45280</v>
      </c>
      <c r="B748" s="2">
        <v>4811</v>
      </c>
      <c r="C748" s="3">
        <f>+(NVDA_data[[#This Row],[Último]]/B747)-1</f>
        <v>-3.0040322580645151E-2</v>
      </c>
    </row>
    <row r="749" spans="1:3" x14ac:dyDescent="0.25">
      <c r="A749" s="1">
        <v>45281</v>
      </c>
      <c r="B749" s="2">
        <v>4899</v>
      </c>
      <c r="C749" s="3">
        <f>+(NVDA_data[[#This Row],[Último]]/B748)-1</f>
        <v>1.8291415506131781E-2</v>
      </c>
    </row>
    <row r="750" spans="1:3" x14ac:dyDescent="0.25">
      <c r="A750" s="1">
        <v>45282</v>
      </c>
      <c r="B750" s="2">
        <v>4883</v>
      </c>
      <c r="C750" s="3">
        <f>+(NVDA_data[[#This Row],[Último]]/B749)-1</f>
        <v>-3.2659726474790762E-3</v>
      </c>
    </row>
    <row r="751" spans="1:3" x14ac:dyDescent="0.25">
      <c r="A751" s="1">
        <v>45286</v>
      </c>
      <c r="B751" s="2">
        <v>4928</v>
      </c>
      <c r="C751" s="3">
        <f>+(NVDA_data[[#This Row],[Último]]/B750)-1</f>
        <v>9.2156461191890138E-3</v>
      </c>
    </row>
    <row r="752" spans="1:3" x14ac:dyDescent="0.25">
      <c r="A752" s="1">
        <v>45287</v>
      </c>
      <c r="B752" s="2">
        <v>4942</v>
      </c>
      <c r="C752" s="3">
        <f>+(NVDA_data[[#This Row],[Último]]/B751)-1</f>
        <v>2.8409090909091717E-3</v>
      </c>
    </row>
    <row r="753" spans="1:3" x14ac:dyDescent="0.25">
      <c r="A753" s="1">
        <v>45288</v>
      </c>
      <c r="B753" s="2">
        <v>4952</v>
      </c>
      <c r="C753" s="3">
        <f>+(NVDA_data[[#This Row],[Último]]/B752)-1</f>
        <v>2.0234722784298054E-3</v>
      </c>
    </row>
    <row r="754" spans="1:3" x14ac:dyDescent="0.25">
      <c r="A754" s="1">
        <v>45289</v>
      </c>
      <c r="B754" s="2">
        <v>4952</v>
      </c>
      <c r="C754" s="3">
        <f>+(NVDA_data[[#This Row],[Último]]/B753)-1</f>
        <v>0</v>
      </c>
    </row>
    <row r="755" spans="1:3" x14ac:dyDescent="0.25">
      <c r="A755" s="1">
        <v>45293</v>
      </c>
      <c r="B755" s="2">
        <v>4817</v>
      </c>
      <c r="C755" s="3">
        <f>+(NVDA_data[[#This Row],[Último]]/B754)-1</f>
        <v>-2.726171243941844E-2</v>
      </c>
    </row>
    <row r="756" spans="1:3" x14ac:dyDescent="0.25">
      <c r="A756" s="1">
        <v>45294</v>
      </c>
      <c r="B756" s="2">
        <v>4757</v>
      </c>
      <c r="C756" s="3">
        <f>+(NVDA_data[[#This Row],[Último]]/B755)-1</f>
        <v>-1.2455885405854294E-2</v>
      </c>
    </row>
    <row r="757" spans="1:3" x14ac:dyDescent="0.25">
      <c r="A757" s="1">
        <v>45295</v>
      </c>
      <c r="B757" s="2">
        <v>4800</v>
      </c>
      <c r="C757" s="3">
        <f>+(NVDA_data[[#This Row],[Último]]/B756)-1</f>
        <v>9.0393104898045529E-3</v>
      </c>
    </row>
    <row r="758" spans="1:3" x14ac:dyDescent="0.25">
      <c r="A758" s="1">
        <v>45296</v>
      </c>
      <c r="B758" s="2">
        <v>4910</v>
      </c>
      <c r="C758" s="3">
        <f>+(NVDA_data[[#This Row],[Último]]/B757)-1</f>
        <v>2.2916666666666696E-2</v>
      </c>
    </row>
    <row r="759" spans="1:3" x14ac:dyDescent="0.25">
      <c r="A759" s="1">
        <v>45299</v>
      </c>
      <c r="B759" s="2">
        <v>5225</v>
      </c>
      <c r="C759" s="3">
        <f>+(NVDA_data[[#This Row],[Último]]/B758)-1</f>
        <v>6.4154786150712795E-2</v>
      </c>
    </row>
    <row r="760" spans="1:3" x14ac:dyDescent="0.25">
      <c r="A760" s="1">
        <v>45300</v>
      </c>
      <c r="B760" s="2">
        <v>5314</v>
      </c>
      <c r="C760" s="3">
        <f>+(NVDA_data[[#This Row],[Último]]/B759)-1</f>
        <v>1.7033492822966512E-2</v>
      </c>
    </row>
    <row r="761" spans="1:3" x14ac:dyDescent="0.25">
      <c r="A761" s="1">
        <v>45301</v>
      </c>
      <c r="B761" s="2">
        <v>5435</v>
      </c>
      <c r="C761" s="3">
        <f>+(NVDA_data[[#This Row],[Último]]/B760)-1</f>
        <v>2.2770041400075325E-2</v>
      </c>
    </row>
    <row r="762" spans="1:3" x14ac:dyDescent="0.25">
      <c r="A762" s="1">
        <v>45302</v>
      </c>
      <c r="B762" s="2">
        <v>5482</v>
      </c>
      <c r="C762" s="3">
        <f>+(NVDA_data[[#This Row],[Último]]/B761)-1</f>
        <v>8.6476540938362767E-3</v>
      </c>
    </row>
    <row r="763" spans="1:3" x14ac:dyDescent="0.25">
      <c r="A763" s="1">
        <v>45303</v>
      </c>
      <c r="B763" s="2">
        <v>5471</v>
      </c>
      <c r="C763" s="3">
        <f>+(NVDA_data[[#This Row],[Último]]/B762)-1</f>
        <v>-2.0065669463699143E-3</v>
      </c>
    </row>
    <row r="764" spans="1:3" x14ac:dyDescent="0.25">
      <c r="A764" s="1">
        <v>45307</v>
      </c>
      <c r="B764" s="2">
        <v>5638</v>
      </c>
      <c r="C764" s="3">
        <f>+(NVDA_data[[#This Row],[Último]]/B763)-1</f>
        <v>3.0524584171083946E-2</v>
      </c>
    </row>
    <row r="765" spans="1:3" x14ac:dyDescent="0.25">
      <c r="A765" s="1">
        <v>45308</v>
      </c>
      <c r="B765" s="2">
        <v>5605</v>
      </c>
      <c r="C765" s="3">
        <f>+(NVDA_data[[#This Row],[Último]]/B764)-1</f>
        <v>-5.8531394111387414E-3</v>
      </c>
    </row>
    <row r="766" spans="1:3" x14ac:dyDescent="0.25">
      <c r="A766" s="1">
        <v>45309</v>
      </c>
      <c r="B766" s="2">
        <v>5711</v>
      </c>
      <c r="C766" s="3">
        <f>+(NVDA_data[[#This Row],[Último]]/B765)-1</f>
        <v>1.8911685994647653E-2</v>
      </c>
    </row>
    <row r="767" spans="1:3" x14ac:dyDescent="0.25">
      <c r="A767" s="1">
        <v>45310</v>
      </c>
      <c r="B767" s="2">
        <v>5949</v>
      </c>
      <c r="C767" s="3">
        <f>+(NVDA_data[[#This Row],[Último]]/B766)-1</f>
        <v>4.1673962528453901E-2</v>
      </c>
    </row>
    <row r="768" spans="1:3" x14ac:dyDescent="0.25">
      <c r="A768" s="1">
        <v>45313</v>
      </c>
      <c r="B768" s="2">
        <v>5965</v>
      </c>
      <c r="C768" s="3">
        <f>+(NVDA_data[[#This Row],[Último]]/B767)-1</f>
        <v>2.6895276517062694E-3</v>
      </c>
    </row>
    <row r="769" spans="1:3" x14ac:dyDescent="0.25">
      <c r="A769" s="1">
        <v>45314</v>
      </c>
      <c r="B769" s="2">
        <v>5987</v>
      </c>
      <c r="C769" s="3">
        <f>+(NVDA_data[[#This Row],[Último]]/B768)-1</f>
        <v>3.6881810561608663E-3</v>
      </c>
    </row>
    <row r="770" spans="1:3" x14ac:dyDescent="0.25">
      <c r="A770" s="1">
        <v>45315</v>
      </c>
      <c r="B770" s="2">
        <v>6136</v>
      </c>
      <c r="C770" s="3">
        <f>+(NVDA_data[[#This Row],[Último]]/B769)-1</f>
        <v>2.4887255720728252E-2</v>
      </c>
    </row>
    <row r="771" spans="1:3" x14ac:dyDescent="0.25">
      <c r="A771" s="1">
        <v>45316</v>
      </c>
      <c r="B771" s="2">
        <v>6162</v>
      </c>
      <c r="C771" s="3">
        <f>+(NVDA_data[[#This Row],[Último]]/B770)-1</f>
        <v>4.237288135593209E-3</v>
      </c>
    </row>
    <row r="772" spans="1:3" x14ac:dyDescent="0.25">
      <c r="A772" s="1">
        <v>45317</v>
      </c>
      <c r="B772" s="2">
        <v>6103</v>
      </c>
      <c r="C772" s="3">
        <f>+(NVDA_data[[#This Row],[Último]]/B771)-1</f>
        <v>-9.5748133722817208E-3</v>
      </c>
    </row>
    <row r="773" spans="1:3" x14ac:dyDescent="0.25">
      <c r="A773" s="1">
        <v>45320</v>
      </c>
      <c r="B773" s="2">
        <v>6247</v>
      </c>
      <c r="C773" s="3">
        <f>+(NVDA_data[[#This Row],[Último]]/B772)-1</f>
        <v>2.3594953301654842E-2</v>
      </c>
    </row>
    <row r="774" spans="1:3" x14ac:dyDescent="0.25">
      <c r="A774" s="1">
        <v>45321</v>
      </c>
      <c r="B774" s="2">
        <v>6277</v>
      </c>
      <c r="C774" s="3">
        <f>+(NVDA_data[[#This Row],[Último]]/B773)-1</f>
        <v>4.8023051064511879E-3</v>
      </c>
    </row>
    <row r="775" spans="1:3" x14ac:dyDescent="0.25">
      <c r="A775" s="1">
        <v>45322</v>
      </c>
      <c r="B775" s="2">
        <v>6153</v>
      </c>
      <c r="C775" s="3">
        <f>+(NVDA_data[[#This Row],[Último]]/B774)-1</f>
        <v>-1.9754659869364311E-2</v>
      </c>
    </row>
    <row r="776" spans="1:3" x14ac:dyDescent="0.25">
      <c r="A776" s="1">
        <v>45323</v>
      </c>
      <c r="B776" s="2">
        <v>6303</v>
      </c>
      <c r="C776" s="3">
        <f>+(NVDA_data[[#This Row],[Último]]/B775)-1</f>
        <v>2.4378352023403327E-2</v>
      </c>
    </row>
    <row r="777" spans="1:3" x14ac:dyDescent="0.25">
      <c r="A777" s="1">
        <v>45324</v>
      </c>
      <c r="B777" s="2">
        <v>6616</v>
      </c>
      <c r="C777" s="3">
        <f>+(NVDA_data[[#This Row],[Último]]/B776)-1</f>
        <v>4.9658892590829673E-2</v>
      </c>
    </row>
    <row r="778" spans="1:3" x14ac:dyDescent="0.25">
      <c r="A778" s="1">
        <v>45327</v>
      </c>
      <c r="B778" s="2">
        <v>6933</v>
      </c>
      <c r="C778" s="3">
        <f>+(NVDA_data[[#This Row],[Último]]/B777)-1</f>
        <v>4.7914147521160855E-2</v>
      </c>
    </row>
    <row r="779" spans="1:3" x14ac:dyDescent="0.25">
      <c r="A779" s="1">
        <v>45328</v>
      </c>
      <c r="B779" s="2">
        <v>6822</v>
      </c>
      <c r="C779" s="3">
        <f>+(NVDA_data[[#This Row],[Último]]/B778)-1</f>
        <v>-1.6010385114669012E-2</v>
      </c>
    </row>
    <row r="780" spans="1:3" x14ac:dyDescent="0.25">
      <c r="A780" s="1">
        <v>45329</v>
      </c>
      <c r="B780" s="2">
        <v>7010</v>
      </c>
      <c r="C780" s="3">
        <f>+(NVDA_data[[#This Row],[Último]]/B779)-1</f>
        <v>2.7557900908824484E-2</v>
      </c>
    </row>
    <row r="781" spans="1:3" x14ac:dyDescent="0.25">
      <c r="A781" s="1">
        <v>45330</v>
      </c>
      <c r="B781" s="2">
        <v>6964</v>
      </c>
      <c r="C781" s="3">
        <f>+(NVDA_data[[#This Row],[Último]]/B780)-1</f>
        <v>-6.5620542082739375E-3</v>
      </c>
    </row>
    <row r="782" spans="1:3" x14ac:dyDescent="0.25">
      <c r="A782" s="1">
        <v>45331</v>
      </c>
      <c r="B782" s="2">
        <v>7213</v>
      </c>
      <c r="C782" s="3">
        <f>+(NVDA_data[[#This Row],[Último]]/B781)-1</f>
        <v>3.575531303848356E-2</v>
      </c>
    </row>
    <row r="783" spans="1:3" x14ac:dyDescent="0.25">
      <c r="A783" s="1">
        <v>45334</v>
      </c>
      <c r="B783" s="2">
        <v>7225</v>
      </c>
      <c r="C783" s="3">
        <f>+(NVDA_data[[#This Row],[Último]]/B782)-1</f>
        <v>1.6636628309996127E-3</v>
      </c>
    </row>
    <row r="784" spans="1:3" x14ac:dyDescent="0.25">
      <c r="A784" s="1">
        <v>45335</v>
      </c>
      <c r="B784" s="2">
        <v>7213</v>
      </c>
      <c r="C784" s="3">
        <f>+(NVDA_data[[#This Row],[Último]]/B783)-1</f>
        <v>-1.6608996539791976E-3</v>
      </c>
    </row>
    <row r="785" spans="1:3" x14ac:dyDescent="0.25">
      <c r="A785" s="1">
        <v>45336</v>
      </c>
      <c r="B785" s="2">
        <v>7390</v>
      </c>
      <c r="C785" s="3">
        <f>+(NVDA_data[[#This Row],[Último]]/B784)-1</f>
        <v>2.4539026757243843E-2</v>
      </c>
    </row>
    <row r="786" spans="1:3" x14ac:dyDescent="0.25">
      <c r="A786" s="1">
        <v>45337</v>
      </c>
      <c r="B786" s="2">
        <v>7266</v>
      </c>
      <c r="C786" s="3">
        <f>+(NVDA_data[[#This Row],[Último]]/B785)-1</f>
        <v>-1.6779431664411315E-2</v>
      </c>
    </row>
    <row r="787" spans="1:3" x14ac:dyDescent="0.25">
      <c r="A787" s="1">
        <v>45338</v>
      </c>
      <c r="B787" s="2">
        <v>7261</v>
      </c>
      <c r="C787" s="3">
        <f>+(NVDA_data[[#This Row],[Último]]/B786)-1</f>
        <v>-6.8813652628685329E-4</v>
      </c>
    </row>
    <row r="788" spans="1:3" x14ac:dyDescent="0.25">
      <c r="A788" s="1">
        <v>45342</v>
      </c>
      <c r="B788" s="2">
        <v>6945</v>
      </c>
      <c r="C788" s="3">
        <f>+(NVDA_data[[#This Row],[Último]]/B787)-1</f>
        <v>-4.3520176284258416E-2</v>
      </c>
    </row>
    <row r="789" spans="1:3" x14ac:dyDescent="0.25">
      <c r="A789" s="1">
        <v>45343</v>
      </c>
      <c r="B789" s="2">
        <v>6747</v>
      </c>
      <c r="C789" s="3">
        <f>+(NVDA_data[[#This Row],[Último]]/B788)-1</f>
        <v>-2.8509719222462149E-2</v>
      </c>
    </row>
    <row r="790" spans="1:3" x14ac:dyDescent="0.25">
      <c r="A790" s="1">
        <v>45344</v>
      </c>
      <c r="B790" s="2">
        <v>7854</v>
      </c>
      <c r="C790" s="3">
        <f>+(NVDA_data[[#This Row],[Último]]/B789)-1</f>
        <v>0.16407292129835493</v>
      </c>
    </row>
    <row r="791" spans="1:3" x14ac:dyDescent="0.25">
      <c r="A791" s="1">
        <v>45345</v>
      </c>
      <c r="B791" s="2">
        <v>7882</v>
      </c>
      <c r="C791" s="3">
        <f>+(NVDA_data[[#This Row],[Último]]/B790)-1</f>
        <v>3.5650623885918886E-3</v>
      </c>
    </row>
    <row r="792" spans="1:3" x14ac:dyDescent="0.25">
      <c r="A792" s="1">
        <v>45348</v>
      </c>
      <c r="B792" s="2">
        <v>7909</v>
      </c>
      <c r="C792" s="3">
        <f>+(NVDA_data[[#This Row],[Último]]/B791)-1</f>
        <v>3.4255265161127202E-3</v>
      </c>
    </row>
    <row r="793" spans="1:3" x14ac:dyDescent="0.25">
      <c r="A793" s="1">
        <v>45349</v>
      </c>
      <c r="B793" s="2">
        <v>7870</v>
      </c>
      <c r="C793" s="3">
        <f>+(NVDA_data[[#This Row],[Último]]/B792)-1</f>
        <v>-4.931091161967327E-3</v>
      </c>
    </row>
    <row r="794" spans="1:3" x14ac:dyDescent="0.25">
      <c r="A794" s="1">
        <v>45350</v>
      </c>
      <c r="B794" s="2">
        <v>7766</v>
      </c>
      <c r="C794" s="3">
        <f>+(NVDA_data[[#This Row],[Último]]/B793)-1</f>
        <v>-1.3214739517153795E-2</v>
      </c>
    </row>
    <row r="795" spans="1:3" x14ac:dyDescent="0.25">
      <c r="A795" s="1">
        <v>45351</v>
      </c>
      <c r="B795" s="2">
        <v>7911</v>
      </c>
      <c r="C795" s="3">
        <f>+(NVDA_data[[#This Row],[Último]]/B794)-1</f>
        <v>1.8671130569147598E-2</v>
      </c>
    </row>
    <row r="796" spans="1:3" x14ac:dyDescent="0.25">
      <c r="A796" s="1">
        <v>45352</v>
      </c>
      <c r="B796" s="2">
        <v>8228</v>
      </c>
      <c r="C796" s="3">
        <f>+(NVDA_data[[#This Row],[Último]]/B795)-1</f>
        <v>4.0070787511060635E-2</v>
      </c>
    </row>
    <row r="797" spans="1:3" x14ac:dyDescent="0.25">
      <c r="A797" s="1">
        <v>45355</v>
      </c>
      <c r="B797" s="2">
        <v>8524</v>
      </c>
      <c r="C797" s="3">
        <f>+(NVDA_data[[#This Row],[Último]]/B796)-1</f>
        <v>3.5974720466699139E-2</v>
      </c>
    </row>
    <row r="798" spans="1:3" x14ac:dyDescent="0.25">
      <c r="A798" s="1">
        <v>45356</v>
      </c>
      <c r="B798" s="2">
        <v>8596</v>
      </c>
      <c r="C798" s="3">
        <f>+(NVDA_data[[#This Row],[Último]]/B797)-1</f>
        <v>8.4467386203659345E-3</v>
      </c>
    </row>
    <row r="799" spans="1:3" x14ac:dyDescent="0.25">
      <c r="A799" s="1">
        <v>45357</v>
      </c>
      <c r="B799" s="2">
        <v>8870</v>
      </c>
      <c r="C799" s="3">
        <f>+(NVDA_data[[#This Row],[Último]]/B798)-1</f>
        <v>3.1875290832945602E-2</v>
      </c>
    </row>
    <row r="800" spans="1:3" x14ac:dyDescent="0.25">
      <c r="A800" s="1">
        <v>45358</v>
      </c>
      <c r="B800" s="2">
        <v>9267</v>
      </c>
      <c r="C800" s="3">
        <f>+(NVDA_data[[#This Row],[Último]]/B799)-1</f>
        <v>4.4757609921082242E-2</v>
      </c>
    </row>
    <row r="801" spans="1:3" x14ac:dyDescent="0.25">
      <c r="A801" s="1">
        <v>45359</v>
      </c>
      <c r="B801" s="2">
        <v>8753</v>
      </c>
      <c r="C801" s="3">
        <f>+(NVDA_data[[#This Row],[Último]]/B800)-1</f>
        <v>-5.5465630732707494E-2</v>
      </c>
    </row>
    <row r="802" spans="1:3" x14ac:dyDescent="0.25">
      <c r="A802" s="1">
        <v>45362</v>
      </c>
      <c r="B802" s="2">
        <v>8577</v>
      </c>
      <c r="C802" s="3">
        <f>+(NVDA_data[[#This Row],[Último]]/B801)-1</f>
        <v>-2.0107391751399528E-2</v>
      </c>
    </row>
    <row r="803" spans="1:3" x14ac:dyDescent="0.25">
      <c r="A803" s="1">
        <v>45363</v>
      </c>
      <c r="B803" s="2">
        <v>9191</v>
      </c>
      <c r="C803" s="3">
        <f>+(NVDA_data[[#This Row],[Último]]/B802)-1</f>
        <v>7.1586801912090436E-2</v>
      </c>
    </row>
    <row r="804" spans="1:3" x14ac:dyDescent="0.25">
      <c r="A804" s="1">
        <v>45364</v>
      </c>
      <c r="B804" s="2">
        <v>9089</v>
      </c>
      <c r="C804" s="3">
        <f>+(NVDA_data[[#This Row],[Último]]/B803)-1</f>
        <v>-1.1097813078011054E-2</v>
      </c>
    </row>
    <row r="805" spans="1:3" x14ac:dyDescent="0.25">
      <c r="A805" s="1">
        <v>45365</v>
      </c>
      <c r="B805" s="2">
        <v>8794</v>
      </c>
      <c r="C805" s="3">
        <f>+(NVDA_data[[#This Row],[Último]]/B804)-1</f>
        <v>-3.2456815931345528E-2</v>
      </c>
    </row>
    <row r="806" spans="1:3" x14ac:dyDescent="0.25">
      <c r="A806" s="1">
        <v>45366</v>
      </c>
      <c r="B806" s="2">
        <v>8784</v>
      </c>
      <c r="C806" s="3">
        <f>+(NVDA_data[[#This Row],[Último]]/B805)-1</f>
        <v>-1.1371389583807456E-3</v>
      </c>
    </row>
    <row r="807" spans="1:3" x14ac:dyDescent="0.25">
      <c r="A807" s="1">
        <v>45369</v>
      </c>
      <c r="B807" s="2">
        <v>8846</v>
      </c>
      <c r="C807" s="3">
        <f>+(NVDA_data[[#This Row],[Último]]/B806)-1</f>
        <v>7.0582877959928236E-3</v>
      </c>
    </row>
    <row r="808" spans="1:3" x14ac:dyDescent="0.25">
      <c r="A808" s="1">
        <v>45370</v>
      </c>
      <c r="B808" s="2">
        <v>8940</v>
      </c>
      <c r="C808" s="3">
        <f>+(NVDA_data[[#This Row],[Último]]/B807)-1</f>
        <v>1.0626271761247974E-2</v>
      </c>
    </row>
    <row r="809" spans="1:3" x14ac:dyDescent="0.25">
      <c r="A809" s="1">
        <v>45371</v>
      </c>
      <c r="B809" s="2">
        <v>9037</v>
      </c>
      <c r="C809" s="3">
        <f>+(NVDA_data[[#This Row],[Último]]/B808)-1</f>
        <v>1.0850111856823164E-2</v>
      </c>
    </row>
    <row r="810" spans="1:3" x14ac:dyDescent="0.25">
      <c r="A810" s="1">
        <v>45372</v>
      </c>
      <c r="B810" s="2">
        <v>9143</v>
      </c>
      <c r="C810" s="3">
        <f>+(NVDA_data[[#This Row],[Último]]/B809)-1</f>
        <v>1.1729556268673225E-2</v>
      </c>
    </row>
    <row r="811" spans="1:3" x14ac:dyDescent="0.25">
      <c r="A811" s="1">
        <v>45373</v>
      </c>
      <c r="B811" s="2">
        <v>9429</v>
      </c>
      <c r="C811" s="3">
        <f>+(NVDA_data[[#This Row],[Último]]/B810)-1</f>
        <v>3.1280761238105637E-2</v>
      </c>
    </row>
    <row r="812" spans="1:3" x14ac:dyDescent="0.25">
      <c r="A812" s="1">
        <v>45376</v>
      </c>
      <c r="B812" s="2">
        <v>9500</v>
      </c>
      <c r="C812" s="3">
        <f>+(NVDA_data[[#This Row],[Último]]/B811)-1</f>
        <v>7.5299607593595219E-3</v>
      </c>
    </row>
    <row r="813" spans="1:3" x14ac:dyDescent="0.25">
      <c r="A813" s="1">
        <v>45377</v>
      </c>
      <c r="B813" s="2">
        <v>9256</v>
      </c>
      <c r="C813" s="3">
        <f>+(NVDA_data[[#This Row],[Último]]/B812)-1</f>
        <v>-2.5684210526315754E-2</v>
      </c>
    </row>
    <row r="814" spans="1:3" x14ac:dyDescent="0.25">
      <c r="A814" s="1">
        <v>45378</v>
      </c>
      <c r="B814" s="2">
        <v>9025</v>
      </c>
      <c r="C814" s="3">
        <f>+(NVDA_data[[#This Row],[Último]]/B813)-1</f>
        <v>-2.4956784788245479E-2</v>
      </c>
    </row>
    <row r="815" spans="1:3" x14ac:dyDescent="0.25">
      <c r="A815" s="1">
        <v>45379</v>
      </c>
      <c r="B815" s="2">
        <v>9036</v>
      </c>
      <c r="C815" s="3">
        <f>+(NVDA_data[[#This Row],[Último]]/B814)-1</f>
        <v>1.2188365650969146E-3</v>
      </c>
    </row>
    <row r="816" spans="1:3" x14ac:dyDescent="0.25">
      <c r="A816" s="1">
        <v>45383</v>
      </c>
      <c r="B816" s="2">
        <v>9036</v>
      </c>
      <c r="C816" s="3">
        <f>+(NVDA_data[[#This Row],[Último]]/B815)-1</f>
        <v>0</v>
      </c>
    </row>
    <row r="817" spans="1:3" x14ac:dyDescent="0.25">
      <c r="A817" s="1">
        <v>45384</v>
      </c>
      <c r="B817" s="2">
        <v>8945</v>
      </c>
      <c r="C817" s="3">
        <f>+(NVDA_data[[#This Row],[Último]]/B816)-1</f>
        <v>-1.0070827799911419E-2</v>
      </c>
    </row>
    <row r="818" spans="1:3" x14ac:dyDescent="0.25">
      <c r="A818" s="1">
        <v>45385</v>
      </c>
      <c r="B818" s="2">
        <v>8896</v>
      </c>
      <c r="C818" s="3">
        <f>+(NVDA_data[[#This Row],[Último]]/B817)-1</f>
        <v>-5.4779206260480162E-3</v>
      </c>
    </row>
    <row r="819" spans="1:3" x14ac:dyDescent="0.25">
      <c r="A819" s="1">
        <v>45386</v>
      </c>
      <c r="B819" s="2">
        <v>8590</v>
      </c>
      <c r="C819" s="3">
        <f>+(NVDA_data[[#This Row],[Último]]/B818)-1</f>
        <v>-3.4397482014388525E-2</v>
      </c>
    </row>
    <row r="820" spans="1:3" x14ac:dyDescent="0.25">
      <c r="A820" s="1">
        <v>45387</v>
      </c>
      <c r="B820" s="2">
        <v>8801</v>
      </c>
      <c r="C820" s="3">
        <f>+(NVDA_data[[#This Row],[Último]]/B819)-1</f>
        <v>2.4563445867287648E-2</v>
      </c>
    </row>
    <row r="821" spans="1:3" x14ac:dyDescent="0.25">
      <c r="A821" s="1">
        <v>45390</v>
      </c>
      <c r="B821" s="2">
        <v>8713</v>
      </c>
      <c r="C821" s="3">
        <f>+(NVDA_data[[#This Row],[Último]]/B820)-1</f>
        <v>-9.9988637654812029E-3</v>
      </c>
    </row>
    <row r="822" spans="1:3" x14ac:dyDescent="0.25">
      <c r="A822" s="1">
        <v>45391</v>
      </c>
      <c r="B822" s="2">
        <v>8535</v>
      </c>
      <c r="C822" s="3">
        <f>+(NVDA_data[[#This Row],[Último]]/B821)-1</f>
        <v>-2.0429243658900531E-2</v>
      </c>
    </row>
    <row r="823" spans="1:3" x14ac:dyDescent="0.25">
      <c r="A823" s="1">
        <v>45392</v>
      </c>
      <c r="B823" s="2">
        <v>8704</v>
      </c>
      <c r="C823" s="3">
        <f>+(NVDA_data[[#This Row],[Último]]/B822)-1</f>
        <v>1.9800820152314103E-2</v>
      </c>
    </row>
    <row r="824" spans="1:3" x14ac:dyDescent="0.25">
      <c r="A824" s="1">
        <v>45393</v>
      </c>
      <c r="B824" s="2">
        <v>9062</v>
      </c>
      <c r="C824" s="3">
        <f>+(NVDA_data[[#This Row],[Último]]/B823)-1</f>
        <v>4.1130514705882248E-2</v>
      </c>
    </row>
    <row r="825" spans="1:3" x14ac:dyDescent="0.25">
      <c r="A825" s="1">
        <v>45394</v>
      </c>
      <c r="B825" s="2">
        <v>8819</v>
      </c>
      <c r="C825" s="3">
        <f>+(NVDA_data[[#This Row],[Último]]/B824)-1</f>
        <v>-2.6815272566762305E-2</v>
      </c>
    </row>
    <row r="826" spans="1:3" x14ac:dyDescent="0.25">
      <c r="A826" s="1">
        <v>45397</v>
      </c>
      <c r="B826" s="2">
        <v>8600</v>
      </c>
      <c r="C826" s="3">
        <f>+(NVDA_data[[#This Row],[Último]]/B825)-1</f>
        <v>-2.4832747477038231E-2</v>
      </c>
    </row>
    <row r="827" spans="1:3" x14ac:dyDescent="0.25">
      <c r="A827" s="1">
        <v>45398</v>
      </c>
      <c r="B827" s="2">
        <v>8742</v>
      </c>
      <c r="C827" s="3">
        <f>+(NVDA_data[[#This Row],[Último]]/B826)-1</f>
        <v>1.65116279069768E-2</v>
      </c>
    </row>
    <row r="828" spans="1:3" x14ac:dyDescent="0.25">
      <c r="A828" s="1">
        <v>45399</v>
      </c>
      <c r="B828" s="2">
        <v>8404</v>
      </c>
      <c r="C828" s="3">
        <f>+(NVDA_data[[#This Row],[Último]]/B827)-1</f>
        <v>-3.8663921299473825E-2</v>
      </c>
    </row>
    <row r="829" spans="1:3" x14ac:dyDescent="0.25">
      <c r="A829" s="1">
        <v>45400</v>
      </c>
      <c r="B829" s="2">
        <v>8467</v>
      </c>
      <c r="C829" s="3">
        <f>+(NVDA_data[[#This Row],[Último]]/B828)-1</f>
        <v>7.4964302712994257E-3</v>
      </c>
    </row>
    <row r="830" spans="1:3" x14ac:dyDescent="0.25">
      <c r="A830" s="1">
        <v>45401</v>
      </c>
      <c r="B830" s="2">
        <v>7620</v>
      </c>
      <c r="C830" s="3">
        <f>+(NVDA_data[[#This Row],[Último]]/B829)-1</f>
        <v>-0.10003543167591822</v>
      </c>
    </row>
    <row r="831" spans="1:3" x14ac:dyDescent="0.25">
      <c r="A831" s="1">
        <v>45404</v>
      </c>
      <c r="B831" s="2">
        <v>7952</v>
      </c>
      <c r="C831" s="3">
        <f>+(NVDA_data[[#This Row],[Último]]/B830)-1</f>
        <v>4.3569553805774319E-2</v>
      </c>
    </row>
    <row r="832" spans="1:3" x14ac:dyDescent="0.25">
      <c r="A832" s="1">
        <v>45405</v>
      </c>
      <c r="B832" s="2">
        <v>8242</v>
      </c>
      <c r="C832" s="3">
        <f>+(NVDA_data[[#This Row],[Último]]/B831)-1</f>
        <v>3.6468812877263668E-2</v>
      </c>
    </row>
    <row r="833" spans="1:3" x14ac:dyDescent="0.25">
      <c r="A833" s="1">
        <v>45406</v>
      </c>
      <c r="B833" s="2">
        <v>7968</v>
      </c>
      <c r="C833" s="3">
        <f>+(NVDA_data[[#This Row],[Último]]/B832)-1</f>
        <v>-3.3244358165493759E-2</v>
      </c>
    </row>
    <row r="834" spans="1:3" x14ac:dyDescent="0.25">
      <c r="A834" s="1">
        <v>45407</v>
      </c>
      <c r="B834" s="2">
        <v>8263</v>
      </c>
      <c r="C834" s="3">
        <f>+(NVDA_data[[#This Row],[Último]]/B833)-1</f>
        <v>3.7023092369477872E-2</v>
      </c>
    </row>
    <row r="835" spans="1:3" x14ac:dyDescent="0.25">
      <c r="A835" s="1">
        <v>45408</v>
      </c>
      <c r="B835" s="2">
        <v>8774</v>
      </c>
      <c r="C835" s="3">
        <f>+(NVDA_data[[#This Row],[Último]]/B834)-1</f>
        <v>6.184194602444637E-2</v>
      </c>
    </row>
    <row r="836" spans="1:3" x14ac:dyDescent="0.25">
      <c r="A836" s="1">
        <v>45411</v>
      </c>
      <c r="B836" s="2">
        <v>8776</v>
      </c>
      <c r="C836" s="3">
        <f>+(NVDA_data[[#This Row],[Último]]/B835)-1</f>
        <v>2.2794620469568372E-4</v>
      </c>
    </row>
    <row r="837" spans="1:3" x14ac:dyDescent="0.25">
      <c r="A837" s="1">
        <v>45412</v>
      </c>
      <c r="B837" s="2">
        <v>8640</v>
      </c>
      <c r="C837" s="3">
        <f>+(NVDA_data[[#This Row],[Último]]/B836)-1</f>
        <v>-1.5496809480401108E-2</v>
      </c>
    </row>
    <row r="838" spans="1:3" x14ac:dyDescent="0.25">
      <c r="A838" s="1">
        <v>45413</v>
      </c>
      <c r="B838" s="2">
        <v>8304</v>
      </c>
      <c r="C838" s="3">
        <f>+(NVDA_data[[#This Row],[Último]]/B837)-1</f>
        <v>-3.8888888888888862E-2</v>
      </c>
    </row>
    <row r="839" spans="1:3" x14ac:dyDescent="0.25">
      <c r="A839" s="1">
        <v>45414</v>
      </c>
      <c r="B839" s="2">
        <v>8582</v>
      </c>
      <c r="C839" s="3">
        <f>+(NVDA_data[[#This Row],[Último]]/B838)-1</f>
        <v>3.3477842003853509E-2</v>
      </c>
    </row>
    <row r="840" spans="1:3" x14ac:dyDescent="0.25">
      <c r="A840" s="1">
        <v>45415</v>
      </c>
      <c r="B840" s="2">
        <v>8879</v>
      </c>
      <c r="C840" s="3">
        <f>+(NVDA_data[[#This Row],[Último]]/B839)-1</f>
        <v>3.4607317641575319E-2</v>
      </c>
    </row>
    <row r="841" spans="1:3" x14ac:dyDescent="0.25">
      <c r="A841" s="1">
        <v>45418</v>
      </c>
      <c r="B841" s="2">
        <v>9214</v>
      </c>
      <c r="C841" s="3">
        <f>+(NVDA_data[[#This Row],[Último]]/B840)-1</f>
        <v>3.772947403986926E-2</v>
      </c>
    </row>
    <row r="842" spans="1:3" x14ac:dyDescent="0.25">
      <c r="A842" s="1">
        <v>45419</v>
      </c>
      <c r="B842" s="2">
        <v>9055</v>
      </c>
      <c r="C842" s="3">
        <f>+(NVDA_data[[#This Row],[Último]]/B841)-1</f>
        <v>-1.7256349034078577E-2</v>
      </c>
    </row>
    <row r="843" spans="1:3" x14ac:dyDescent="0.25">
      <c r="A843" s="1">
        <v>45420</v>
      </c>
      <c r="B843" s="2">
        <v>9041</v>
      </c>
      <c r="C843" s="3">
        <f>+(NVDA_data[[#This Row],[Último]]/B842)-1</f>
        <v>-1.5461071231364087E-3</v>
      </c>
    </row>
    <row r="844" spans="1:3" x14ac:dyDescent="0.25">
      <c r="A844" s="1">
        <v>45421</v>
      </c>
      <c r="B844" s="2">
        <v>8875</v>
      </c>
      <c r="C844" s="3">
        <f>+(NVDA_data[[#This Row],[Último]]/B843)-1</f>
        <v>-1.8360800796372034E-2</v>
      </c>
    </row>
    <row r="845" spans="1:3" x14ac:dyDescent="0.25">
      <c r="A845" s="1">
        <v>45422</v>
      </c>
      <c r="B845" s="2">
        <v>8988</v>
      </c>
      <c r="C845" s="3">
        <f>+(NVDA_data[[#This Row],[Último]]/B844)-1</f>
        <v>1.2732394366197219E-2</v>
      </c>
    </row>
    <row r="846" spans="1:3" x14ac:dyDescent="0.25">
      <c r="A846" s="1">
        <v>45425</v>
      </c>
      <c r="B846" s="2">
        <v>9040</v>
      </c>
      <c r="C846" s="3">
        <f>+(NVDA_data[[#This Row],[Último]]/B845)-1</f>
        <v>5.7854917668000994E-3</v>
      </c>
    </row>
    <row r="847" spans="1:3" x14ac:dyDescent="0.25">
      <c r="A847" s="1">
        <v>45426</v>
      </c>
      <c r="B847" s="2">
        <v>9136</v>
      </c>
      <c r="C847" s="3">
        <f>+(NVDA_data[[#This Row],[Último]]/B846)-1</f>
        <v>1.0619469026548645E-2</v>
      </c>
    </row>
    <row r="848" spans="1:3" x14ac:dyDescent="0.25">
      <c r="A848" s="1">
        <v>45427</v>
      </c>
      <c r="B848" s="2">
        <v>9463</v>
      </c>
      <c r="C848" s="3">
        <f>+(NVDA_data[[#This Row],[Último]]/B847)-1</f>
        <v>3.5792469352013967E-2</v>
      </c>
    </row>
    <row r="849" spans="1:3" x14ac:dyDescent="0.25">
      <c r="A849" s="1">
        <v>45428</v>
      </c>
      <c r="B849" s="2">
        <v>9436</v>
      </c>
      <c r="C849" s="3">
        <f>+(NVDA_data[[#This Row],[Último]]/B848)-1</f>
        <v>-2.8532177956250848E-3</v>
      </c>
    </row>
    <row r="850" spans="1:3" x14ac:dyDescent="0.25">
      <c r="A850" s="1">
        <v>45429</v>
      </c>
      <c r="B850" s="2">
        <v>9248</v>
      </c>
      <c r="C850" s="3">
        <f>+(NVDA_data[[#This Row],[Último]]/B849)-1</f>
        <v>-1.9923696481560005E-2</v>
      </c>
    </row>
    <row r="851" spans="1:3" x14ac:dyDescent="0.25">
      <c r="A851" s="1">
        <v>45432</v>
      </c>
      <c r="B851" s="2">
        <v>9478</v>
      </c>
      <c r="C851" s="3">
        <f>+(NVDA_data[[#This Row],[Último]]/B850)-1</f>
        <v>2.4870242214532823E-2</v>
      </c>
    </row>
    <row r="852" spans="1:3" x14ac:dyDescent="0.25">
      <c r="A852" s="1">
        <v>45433</v>
      </c>
      <c r="B852" s="2">
        <v>9539</v>
      </c>
      <c r="C852" s="3">
        <f>+(NVDA_data[[#This Row],[Último]]/B851)-1</f>
        <v>6.4359569529437444E-3</v>
      </c>
    </row>
    <row r="853" spans="1:3" x14ac:dyDescent="0.25">
      <c r="A853" s="1">
        <v>45434</v>
      </c>
      <c r="B853" s="2">
        <v>9495</v>
      </c>
      <c r="C853" s="3">
        <f>+(NVDA_data[[#This Row],[Último]]/B852)-1</f>
        <v>-4.6126428346786597E-3</v>
      </c>
    </row>
    <row r="854" spans="1:3" x14ac:dyDescent="0.25">
      <c r="A854" s="1">
        <v>45435</v>
      </c>
      <c r="B854" s="2">
        <v>10380</v>
      </c>
      <c r="C854" s="3">
        <f>+(NVDA_data[[#This Row],[Último]]/B853)-1</f>
        <v>9.3206951026856277E-2</v>
      </c>
    </row>
    <row r="855" spans="1:3" x14ac:dyDescent="0.25">
      <c r="A855" s="1">
        <v>45436</v>
      </c>
      <c r="B855" s="2">
        <v>10647</v>
      </c>
      <c r="C855" s="3">
        <f>+(NVDA_data[[#This Row],[Último]]/B854)-1</f>
        <v>2.5722543352601157E-2</v>
      </c>
    </row>
    <row r="856" spans="1:3" x14ac:dyDescent="0.25">
      <c r="A856" s="1">
        <v>45440</v>
      </c>
      <c r="B856" s="2">
        <v>11390</v>
      </c>
      <c r="C856" s="3">
        <f>+(NVDA_data[[#This Row],[Último]]/B855)-1</f>
        <v>6.9784915938762015E-2</v>
      </c>
    </row>
    <row r="857" spans="1:3" x14ac:dyDescent="0.25">
      <c r="A857" s="1">
        <v>45441</v>
      </c>
      <c r="B857" s="2">
        <v>11482</v>
      </c>
      <c r="C857" s="3">
        <f>+(NVDA_data[[#This Row],[Último]]/B856)-1</f>
        <v>8.0772607550483322E-3</v>
      </c>
    </row>
    <row r="858" spans="1:3" x14ac:dyDescent="0.25">
      <c r="A858" s="1">
        <v>45442</v>
      </c>
      <c r="B858" s="2">
        <v>11050</v>
      </c>
      <c r="C858" s="3">
        <f>+(NVDA_data[[#This Row],[Último]]/B857)-1</f>
        <v>-3.7624107298380061E-2</v>
      </c>
    </row>
    <row r="859" spans="1:3" x14ac:dyDescent="0.25">
      <c r="A859" s="1">
        <v>45443</v>
      </c>
      <c r="B859" s="2">
        <v>10963</v>
      </c>
      <c r="C859" s="3">
        <f>+(NVDA_data[[#This Row],[Último]]/B858)-1</f>
        <v>-7.8733031674208531E-3</v>
      </c>
    </row>
    <row r="860" spans="1:3" x14ac:dyDescent="0.25">
      <c r="A860" s="1">
        <v>45446</v>
      </c>
      <c r="B860" s="2">
        <v>11500</v>
      </c>
      <c r="C860" s="3">
        <f>+(NVDA_data[[#This Row],[Último]]/B859)-1</f>
        <v>4.8982942625193759E-2</v>
      </c>
    </row>
    <row r="861" spans="1:3" x14ac:dyDescent="0.25">
      <c r="A861" s="1">
        <v>45447</v>
      </c>
      <c r="B861" s="2">
        <v>11644</v>
      </c>
      <c r="C861" s="3">
        <f>+(NVDA_data[[#This Row],[Último]]/B860)-1</f>
        <v>1.2521739130434861E-2</v>
      </c>
    </row>
    <row r="862" spans="1:3" x14ac:dyDescent="0.25">
      <c r="A862" s="1">
        <v>45448</v>
      </c>
      <c r="B862" s="2">
        <v>12244</v>
      </c>
      <c r="C862" s="3">
        <f>+(NVDA_data[[#This Row],[Último]]/B861)-1</f>
        <v>5.1528684300927496E-2</v>
      </c>
    </row>
    <row r="863" spans="1:3" x14ac:dyDescent="0.25">
      <c r="A863" s="1">
        <v>45449</v>
      </c>
      <c r="B863" s="2">
        <v>12100</v>
      </c>
      <c r="C863" s="3">
        <f>+(NVDA_data[[#This Row],[Último]]/B862)-1</f>
        <v>-1.1760862463247257E-2</v>
      </c>
    </row>
    <row r="864" spans="1:3" x14ac:dyDescent="0.25">
      <c r="A864" s="1">
        <v>45450</v>
      </c>
      <c r="B864" s="2">
        <v>12089</v>
      </c>
      <c r="C864" s="3">
        <f>+(NVDA_data[[#This Row],[Último]]/B863)-1</f>
        <v>-9.0909090909085943E-4</v>
      </c>
    </row>
    <row r="865" spans="1:3" x14ac:dyDescent="0.25">
      <c r="A865" s="1">
        <v>45453</v>
      </c>
      <c r="B865" s="2">
        <v>12179</v>
      </c>
      <c r="C865" s="3">
        <f>+(NVDA_data[[#This Row],[Último]]/B864)-1</f>
        <v>7.4447845148482017E-3</v>
      </c>
    </row>
    <row r="866" spans="1:3" x14ac:dyDescent="0.25">
      <c r="A866" s="1">
        <v>45454</v>
      </c>
      <c r="B866" s="2">
        <v>12091</v>
      </c>
      <c r="C866" s="3">
        <f>+(NVDA_data[[#This Row],[Último]]/B865)-1</f>
        <v>-7.2255521799818867E-3</v>
      </c>
    </row>
    <row r="867" spans="1:3" x14ac:dyDescent="0.25">
      <c r="A867" s="1">
        <v>45455</v>
      </c>
      <c r="B867" s="2">
        <v>12520</v>
      </c>
      <c r="C867" s="3">
        <f>+(NVDA_data[[#This Row],[Último]]/B866)-1</f>
        <v>3.5480936233562188E-2</v>
      </c>
    </row>
    <row r="868" spans="1:3" x14ac:dyDescent="0.25">
      <c r="A868" s="1">
        <v>45456</v>
      </c>
      <c r="B868" s="2">
        <v>12961</v>
      </c>
      <c r="C868" s="3">
        <f>+(NVDA_data[[#This Row],[Último]]/B867)-1</f>
        <v>3.522364217252405E-2</v>
      </c>
    </row>
    <row r="869" spans="1:3" x14ac:dyDescent="0.25">
      <c r="A869" s="1">
        <v>45457</v>
      </c>
      <c r="B869" s="2">
        <v>13188</v>
      </c>
      <c r="C869" s="3">
        <f>+(NVDA_data[[#This Row],[Último]]/B868)-1</f>
        <v>1.7514080703649348E-2</v>
      </c>
    </row>
    <row r="870" spans="1:3" x14ac:dyDescent="0.25">
      <c r="A870" s="1">
        <v>45460</v>
      </c>
      <c r="B870" s="2">
        <v>13098</v>
      </c>
      <c r="C870" s="3">
        <f>+(NVDA_data[[#This Row],[Último]]/B869)-1</f>
        <v>-6.8243858052775552E-3</v>
      </c>
    </row>
    <row r="871" spans="1:3" x14ac:dyDescent="0.25">
      <c r="A871" s="1">
        <v>45461</v>
      </c>
      <c r="B871" s="2">
        <v>13558</v>
      </c>
      <c r="C871" s="3">
        <f>+(NVDA_data[[#This Row],[Último]]/B870)-1</f>
        <v>3.5119865628340241E-2</v>
      </c>
    </row>
    <row r="872" spans="1:3" x14ac:dyDescent="0.25">
      <c r="A872" s="1">
        <v>45463</v>
      </c>
      <c r="B872" s="2">
        <v>13078</v>
      </c>
      <c r="C872" s="3">
        <f>+(NVDA_data[[#This Row],[Último]]/B871)-1</f>
        <v>-3.5403451836554023E-2</v>
      </c>
    </row>
    <row r="873" spans="1:3" x14ac:dyDescent="0.25">
      <c r="A873" s="1">
        <v>45464</v>
      </c>
      <c r="B873" s="2">
        <v>12657</v>
      </c>
      <c r="C873" s="3">
        <f>+(NVDA_data[[#This Row],[Último]]/B872)-1</f>
        <v>-3.2191466585104744E-2</v>
      </c>
    </row>
    <row r="874" spans="1:3" x14ac:dyDescent="0.25">
      <c r="A874" s="1">
        <v>45467</v>
      </c>
      <c r="B874" s="2">
        <v>11811</v>
      </c>
      <c r="C874" s="3">
        <f>+(NVDA_data[[#This Row],[Último]]/B873)-1</f>
        <v>-6.6840483526902084E-2</v>
      </c>
    </row>
    <row r="875" spans="1:3" x14ac:dyDescent="0.25">
      <c r="A875" s="1">
        <v>45468</v>
      </c>
      <c r="B875" s="2">
        <v>12609</v>
      </c>
      <c r="C875" s="3">
        <f>+(NVDA_data[[#This Row],[Último]]/B874)-1</f>
        <v>6.7564135128270308E-2</v>
      </c>
    </row>
    <row r="876" spans="1:3" x14ac:dyDescent="0.25">
      <c r="A876" s="1">
        <v>45469</v>
      </c>
      <c r="B876" s="2">
        <v>12640</v>
      </c>
      <c r="C876" s="3">
        <f>+(NVDA_data[[#This Row],[Último]]/B875)-1</f>
        <v>2.458561345070942E-3</v>
      </c>
    </row>
    <row r="877" spans="1:3" x14ac:dyDescent="0.25">
      <c r="A877" s="1">
        <v>45470</v>
      </c>
      <c r="B877" s="2">
        <v>12399</v>
      </c>
      <c r="C877" s="3">
        <f>+(NVDA_data[[#This Row],[Último]]/B876)-1</f>
        <v>-1.9066455696202578E-2</v>
      </c>
    </row>
    <row r="878" spans="1:3" x14ac:dyDescent="0.25">
      <c r="A878" s="1">
        <v>45471</v>
      </c>
      <c r="B878" s="2">
        <v>12354</v>
      </c>
      <c r="C878" s="3">
        <f>+(NVDA_data[[#This Row],[Último]]/B877)-1</f>
        <v>-3.6293249455601195E-3</v>
      </c>
    </row>
    <row r="879" spans="1:3" x14ac:dyDescent="0.25">
      <c r="A879" s="1">
        <v>45474</v>
      </c>
      <c r="B879" s="2">
        <v>12430</v>
      </c>
      <c r="C879" s="3">
        <f>+(NVDA_data[[#This Row],[Último]]/B878)-1</f>
        <v>6.1518536506395272E-3</v>
      </c>
    </row>
    <row r="880" spans="1:3" x14ac:dyDescent="0.25">
      <c r="A880" s="1">
        <v>45475</v>
      </c>
      <c r="B880" s="2">
        <v>12267</v>
      </c>
      <c r="C880" s="3">
        <f>+(NVDA_data[[#This Row],[Último]]/B879)-1</f>
        <v>-1.3113435237328996E-2</v>
      </c>
    </row>
    <row r="881" spans="1:3" x14ac:dyDescent="0.25">
      <c r="A881" s="1">
        <v>45476</v>
      </c>
      <c r="B881" s="2">
        <v>12828</v>
      </c>
      <c r="C881" s="3">
        <f>+(NVDA_data[[#This Row],[Último]]/B880)-1</f>
        <v>4.5732452922474964E-2</v>
      </c>
    </row>
    <row r="882" spans="1:3" x14ac:dyDescent="0.25">
      <c r="A882" s="1">
        <v>45478</v>
      </c>
      <c r="B882" s="2">
        <v>12583</v>
      </c>
      <c r="C882" s="3">
        <f>+(NVDA_data[[#This Row],[Último]]/B881)-1</f>
        <v>-1.9098846273776116E-2</v>
      </c>
    </row>
    <row r="883" spans="1:3" x14ac:dyDescent="0.25">
      <c r="A883" s="1">
        <v>45481</v>
      </c>
      <c r="B883" s="2">
        <v>12820</v>
      </c>
      <c r="C883" s="3">
        <f>+(NVDA_data[[#This Row],[Último]]/B882)-1</f>
        <v>1.8834936024795468E-2</v>
      </c>
    </row>
    <row r="884" spans="1:3" x14ac:dyDescent="0.25">
      <c r="A884" s="1">
        <v>45482</v>
      </c>
      <c r="B884" s="2">
        <v>13138</v>
      </c>
      <c r="C884" s="3">
        <f>+(NVDA_data[[#This Row],[Último]]/B883)-1</f>
        <v>2.4804992199688014E-2</v>
      </c>
    </row>
    <row r="885" spans="1:3" x14ac:dyDescent="0.25">
      <c r="A885" s="1">
        <v>45483</v>
      </c>
      <c r="B885" s="2">
        <v>13491</v>
      </c>
      <c r="C885" s="3">
        <f>+(NVDA_data[[#This Row],[Último]]/B884)-1</f>
        <v>2.6868625361546661E-2</v>
      </c>
    </row>
    <row r="886" spans="1:3" x14ac:dyDescent="0.25">
      <c r="A886" s="1">
        <v>45484</v>
      </c>
      <c r="B886" s="2">
        <v>12740</v>
      </c>
      <c r="C886" s="3">
        <f>+(NVDA_data[[#This Row],[Último]]/B885)-1</f>
        <v>-5.5666740790156433E-2</v>
      </c>
    </row>
    <row r="887" spans="1:3" x14ac:dyDescent="0.25">
      <c r="A887" s="1">
        <v>45485</v>
      </c>
      <c r="B887" s="2">
        <v>12924</v>
      </c>
      <c r="C887" s="3">
        <f>+(NVDA_data[[#This Row],[Último]]/B886)-1</f>
        <v>1.4442700156985788E-2</v>
      </c>
    </row>
    <row r="888" spans="1:3" x14ac:dyDescent="0.25">
      <c r="A888" s="1">
        <v>45488</v>
      </c>
      <c r="B888" s="2">
        <v>12844</v>
      </c>
      <c r="C888" s="3">
        <f>+(NVDA_data[[#This Row],[Último]]/B887)-1</f>
        <v>-6.1900340451872538E-3</v>
      </c>
    </row>
    <row r="889" spans="1:3" x14ac:dyDescent="0.25">
      <c r="A889" s="1">
        <v>45489</v>
      </c>
      <c r="B889" s="2">
        <v>12636</v>
      </c>
      <c r="C889" s="3">
        <f>+(NVDA_data[[#This Row],[Último]]/B888)-1</f>
        <v>-1.619433198380571E-2</v>
      </c>
    </row>
    <row r="890" spans="1:3" x14ac:dyDescent="0.25">
      <c r="A890" s="1">
        <v>45490</v>
      </c>
      <c r="B890" s="2">
        <v>11799</v>
      </c>
      <c r="C890" s="3">
        <f>+(NVDA_data[[#This Row],[Último]]/B889)-1</f>
        <v>-6.6239316239316226E-2</v>
      </c>
    </row>
    <row r="891" spans="1:3" x14ac:dyDescent="0.25">
      <c r="A891" s="1">
        <v>45491</v>
      </c>
      <c r="B891" s="2">
        <v>12109</v>
      </c>
      <c r="C891" s="3">
        <f>+(NVDA_data[[#This Row],[Último]]/B890)-1</f>
        <v>2.6273413001101753E-2</v>
      </c>
    </row>
    <row r="892" spans="1:3" x14ac:dyDescent="0.25">
      <c r="A892" s="1">
        <v>45492</v>
      </c>
      <c r="B892" s="2">
        <v>11793</v>
      </c>
      <c r="C892" s="3">
        <f>+(NVDA_data[[#This Row],[Último]]/B891)-1</f>
        <v>-2.609629201420427E-2</v>
      </c>
    </row>
    <row r="893" spans="1:3" x14ac:dyDescent="0.25">
      <c r="A893" s="1">
        <v>45495</v>
      </c>
      <c r="B893" s="2">
        <v>12354</v>
      </c>
      <c r="C893" s="3">
        <f>+(NVDA_data[[#This Row],[Último]]/B892)-1</f>
        <v>4.7570592724497596E-2</v>
      </c>
    </row>
    <row r="894" spans="1:3" x14ac:dyDescent="0.25">
      <c r="A894" s="1">
        <v>45496</v>
      </c>
      <c r="B894" s="2">
        <v>12259</v>
      </c>
      <c r="C894" s="3">
        <f>+(NVDA_data[[#This Row],[Último]]/B893)-1</f>
        <v>-7.6898170632992979E-3</v>
      </c>
    </row>
    <row r="895" spans="1:3" x14ac:dyDescent="0.25">
      <c r="A895" s="1">
        <v>45497</v>
      </c>
      <c r="B895" s="2">
        <v>11425</v>
      </c>
      <c r="C895" s="3">
        <f>+(NVDA_data[[#This Row],[Último]]/B894)-1</f>
        <v>-6.8031650216167749E-2</v>
      </c>
    </row>
    <row r="896" spans="1:3" x14ac:dyDescent="0.25">
      <c r="A896" s="1">
        <v>45498</v>
      </c>
      <c r="B896" s="2">
        <v>11228</v>
      </c>
      <c r="C896" s="3">
        <f>+(NVDA_data[[#This Row],[Último]]/B895)-1</f>
        <v>-1.7242888402625778E-2</v>
      </c>
    </row>
    <row r="897" spans="1:3" x14ac:dyDescent="0.25">
      <c r="A897" s="1">
        <v>45499</v>
      </c>
      <c r="B897" s="2">
        <v>11306</v>
      </c>
      <c r="C897" s="3">
        <f>+(NVDA_data[[#This Row],[Último]]/B896)-1</f>
        <v>6.9469184182400223E-3</v>
      </c>
    </row>
    <row r="898" spans="1:3" x14ac:dyDescent="0.25">
      <c r="A898" s="1">
        <v>45502</v>
      </c>
      <c r="B898" s="2">
        <v>11159</v>
      </c>
      <c r="C898" s="3">
        <f>+(NVDA_data[[#This Row],[Último]]/B897)-1</f>
        <v>-1.3001945869449805E-2</v>
      </c>
    </row>
    <row r="899" spans="1:3" x14ac:dyDescent="0.25">
      <c r="A899" s="1">
        <v>45503</v>
      </c>
      <c r="B899" s="2">
        <v>10373</v>
      </c>
      <c r="C899" s="3">
        <f>+(NVDA_data[[#This Row],[Último]]/B898)-1</f>
        <v>-7.0436419033963582E-2</v>
      </c>
    </row>
    <row r="900" spans="1:3" x14ac:dyDescent="0.25">
      <c r="A900" s="1">
        <v>45504</v>
      </c>
      <c r="B900" s="2">
        <v>11702</v>
      </c>
      <c r="C900" s="3">
        <f>+(NVDA_data[[#This Row],[Último]]/B899)-1</f>
        <v>0.12812108358237739</v>
      </c>
    </row>
    <row r="901" spans="1:3" x14ac:dyDescent="0.25">
      <c r="A901" s="1">
        <v>45505</v>
      </c>
      <c r="B901" s="2">
        <v>10921</v>
      </c>
      <c r="C901" s="3">
        <f>+(NVDA_data[[#This Row],[Último]]/B900)-1</f>
        <v>-6.6740728080669998E-2</v>
      </c>
    </row>
    <row r="902" spans="1:3" x14ac:dyDescent="0.25">
      <c r="A902" s="1">
        <v>45506</v>
      </c>
      <c r="B902" s="2">
        <v>10727</v>
      </c>
      <c r="C902" s="3">
        <f>+(NVDA_data[[#This Row],[Último]]/B901)-1</f>
        <v>-1.7763941031041064E-2</v>
      </c>
    </row>
    <row r="903" spans="1:3" x14ac:dyDescent="0.25">
      <c r="A903" s="1">
        <v>45509</v>
      </c>
      <c r="B903" s="2">
        <v>10045</v>
      </c>
      <c r="C903" s="3">
        <f>+(NVDA_data[[#This Row],[Último]]/B902)-1</f>
        <v>-6.3577887573412872E-2</v>
      </c>
    </row>
    <row r="904" spans="1:3" x14ac:dyDescent="0.25">
      <c r="A904" s="1">
        <v>45510</v>
      </c>
      <c r="B904" s="2">
        <v>10425</v>
      </c>
      <c r="C904" s="3">
        <f>+(NVDA_data[[#This Row],[Último]]/B903)-1</f>
        <v>3.782976605276267E-2</v>
      </c>
    </row>
    <row r="905" spans="1:3" x14ac:dyDescent="0.25">
      <c r="A905" s="1">
        <v>45511</v>
      </c>
      <c r="B905" s="2">
        <v>9891</v>
      </c>
      <c r="C905" s="3">
        <f>+(NVDA_data[[#This Row],[Último]]/B904)-1</f>
        <v>-5.1223021582733841E-2</v>
      </c>
    </row>
    <row r="906" spans="1:3" x14ac:dyDescent="0.25">
      <c r="A906" s="1">
        <v>45512</v>
      </c>
      <c r="B906" s="2">
        <v>10497</v>
      </c>
      <c r="C906" s="3">
        <f>+(NVDA_data[[#This Row],[Último]]/B905)-1</f>
        <v>6.126781922960256E-2</v>
      </c>
    </row>
    <row r="907" spans="1:3" x14ac:dyDescent="0.25">
      <c r="A907" s="1">
        <v>45513</v>
      </c>
      <c r="B907" s="2">
        <v>10475</v>
      </c>
      <c r="C907" s="3">
        <f>+(NVDA_data[[#This Row],[Último]]/B906)-1</f>
        <v>-2.0958369057826332E-3</v>
      </c>
    </row>
    <row r="908" spans="1:3" x14ac:dyDescent="0.25">
      <c r="A908" s="1">
        <v>45516</v>
      </c>
      <c r="B908" s="2">
        <v>10902</v>
      </c>
      <c r="C908" s="3">
        <f>+(NVDA_data[[#This Row],[Último]]/B907)-1</f>
        <v>4.0763723150357922E-2</v>
      </c>
    </row>
    <row r="909" spans="1:3" x14ac:dyDescent="0.25">
      <c r="A909" s="1">
        <v>45517</v>
      </c>
      <c r="B909" s="2">
        <v>11614</v>
      </c>
      <c r="C909" s="3">
        <f>+(NVDA_data[[#This Row],[Último]]/B908)-1</f>
        <v>6.5309117593102206E-2</v>
      </c>
    </row>
    <row r="910" spans="1:3" x14ac:dyDescent="0.25">
      <c r="A910" s="1">
        <v>45518</v>
      </c>
      <c r="B910" s="2">
        <v>11808</v>
      </c>
      <c r="C910" s="3">
        <f>+(NVDA_data[[#This Row],[Último]]/B909)-1</f>
        <v>1.6703977957637228E-2</v>
      </c>
    </row>
    <row r="911" spans="1:3" x14ac:dyDescent="0.25">
      <c r="A911" s="1">
        <v>45519</v>
      </c>
      <c r="B911" s="2">
        <v>12286</v>
      </c>
      <c r="C911" s="3">
        <f>+(NVDA_data[[#This Row],[Último]]/B910)-1</f>
        <v>4.0481029810297997E-2</v>
      </c>
    </row>
    <row r="912" spans="1:3" x14ac:dyDescent="0.25">
      <c r="A912" s="1">
        <v>45520</v>
      </c>
      <c r="B912" s="2">
        <v>12458</v>
      </c>
      <c r="C912" s="3">
        <f>+(NVDA_data[[#This Row],[Último]]/B911)-1</f>
        <v>1.3999674426176112E-2</v>
      </c>
    </row>
    <row r="913" spans="1:3" x14ac:dyDescent="0.25">
      <c r="A913" s="1">
        <v>45523</v>
      </c>
      <c r="B913" s="2">
        <v>13000</v>
      </c>
      <c r="C913" s="3">
        <f>+(NVDA_data[[#This Row],[Último]]/B912)-1</f>
        <v>4.3506180767378444E-2</v>
      </c>
    </row>
    <row r="914" spans="1:3" x14ac:dyDescent="0.25">
      <c r="A914" s="1">
        <v>45524</v>
      </c>
      <c r="B914" s="2">
        <v>12725</v>
      </c>
      <c r="C914" s="3">
        <f>+(NVDA_data[[#This Row],[Último]]/B913)-1</f>
        <v>-2.115384615384619E-2</v>
      </c>
    </row>
    <row r="915" spans="1:3" x14ac:dyDescent="0.25">
      <c r="A915" s="1">
        <v>45525</v>
      </c>
      <c r="B915" s="2">
        <v>12850</v>
      </c>
      <c r="C915" s="3">
        <f>+(NVDA_data[[#This Row],[Último]]/B914)-1</f>
        <v>9.8231827111985304E-3</v>
      </c>
    </row>
    <row r="916" spans="1:3" x14ac:dyDescent="0.25">
      <c r="A916" s="1">
        <v>45526</v>
      </c>
      <c r="B916" s="2">
        <v>12374</v>
      </c>
      <c r="C916" s="3">
        <f>+(NVDA_data[[#This Row],[Último]]/B915)-1</f>
        <v>-3.7042801556420257E-2</v>
      </c>
    </row>
    <row r="917" spans="1:3" x14ac:dyDescent="0.25">
      <c r="A917" s="1">
        <v>45527</v>
      </c>
      <c r="B917" s="2">
        <v>12937</v>
      </c>
      <c r="C917" s="3">
        <f>+(NVDA_data[[#This Row],[Último]]/B916)-1</f>
        <v>4.5498626151608157E-2</v>
      </c>
    </row>
    <row r="918" spans="1:3" x14ac:dyDescent="0.25">
      <c r="A918" s="1">
        <v>45530</v>
      </c>
      <c r="B918" s="2">
        <v>12646</v>
      </c>
      <c r="C918" s="3">
        <f>+(NVDA_data[[#This Row],[Último]]/B917)-1</f>
        <v>-2.2493622941949454E-2</v>
      </c>
    </row>
    <row r="919" spans="1:3" x14ac:dyDescent="0.25">
      <c r="A919" s="1">
        <v>45531</v>
      </c>
      <c r="B919" s="2">
        <v>12830</v>
      </c>
      <c r="C919" s="3">
        <f>+(NVDA_data[[#This Row],[Último]]/B918)-1</f>
        <v>1.4550055353471425E-2</v>
      </c>
    </row>
    <row r="920" spans="1:3" x14ac:dyDescent="0.25">
      <c r="A920" s="1">
        <v>45532</v>
      </c>
      <c r="B920" s="2">
        <v>12561</v>
      </c>
      <c r="C920" s="3">
        <f>+(NVDA_data[[#This Row],[Último]]/B919)-1</f>
        <v>-2.0966484801247076E-2</v>
      </c>
    </row>
    <row r="921" spans="1:3" x14ac:dyDescent="0.25">
      <c r="A921" s="1">
        <v>45533</v>
      </c>
      <c r="B921" s="2">
        <v>11759</v>
      </c>
      <c r="C921" s="3">
        <f>+(NVDA_data[[#This Row],[Último]]/B920)-1</f>
        <v>-6.3848419711806437E-2</v>
      </c>
    </row>
    <row r="922" spans="1:3" x14ac:dyDescent="0.25">
      <c r="A922" s="1">
        <v>45534</v>
      </c>
      <c r="B922" s="2">
        <v>11937</v>
      </c>
      <c r="C922" s="3">
        <f>+(NVDA_data[[#This Row],[Último]]/B921)-1</f>
        <v>1.5137341610681254E-2</v>
      </c>
    </row>
    <row r="923" spans="1:3" x14ac:dyDescent="0.25">
      <c r="A923" s="1">
        <v>45538</v>
      </c>
      <c r="B923" s="2">
        <v>10800</v>
      </c>
      <c r="C923" s="3">
        <f>+(NVDA_data[[#This Row],[Último]]/B922)-1</f>
        <v>-9.5250062829856708E-2</v>
      </c>
    </row>
    <row r="924" spans="1:3" x14ac:dyDescent="0.25">
      <c r="A924" s="1">
        <v>45539</v>
      </c>
      <c r="B924" s="2">
        <v>10621</v>
      </c>
      <c r="C924" s="3">
        <f>+(NVDA_data[[#This Row],[Último]]/B923)-1</f>
        <v>-1.6574074074074074E-2</v>
      </c>
    </row>
    <row r="925" spans="1:3" x14ac:dyDescent="0.25">
      <c r="A925" s="1">
        <v>45540</v>
      </c>
      <c r="B925" s="2">
        <v>10721</v>
      </c>
      <c r="C925" s="3">
        <f>+(NVDA_data[[#This Row],[Último]]/B924)-1</f>
        <v>9.4153092929103455E-3</v>
      </c>
    </row>
    <row r="926" spans="1:3" x14ac:dyDescent="0.25">
      <c r="A926" s="1">
        <v>45541</v>
      </c>
      <c r="B926" s="2">
        <v>10283</v>
      </c>
      <c r="C926" s="3">
        <f>+(NVDA_data[[#This Row],[Último]]/B925)-1</f>
        <v>-4.0854397910642715E-2</v>
      </c>
    </row>
    <row r="927" spans="1:3" x14ac:dyDescent="0.25">
      <c r="A927" s="1">
        <v>45544</v>
      </c>
      <c r="B927" s="2">
        <v>10647</v>
      </c>
      <c r="C927" s="3">
        <f>+(NVDA_data[[#This Row],[Último]]/B926)-1</f>
        <v>3.539823008849563E-2</v>
      </c>
    </row>
    <row r="928" spans="1:3" x14ac:dyDescent="0.25">
      <c r="A928" s="1">
        <v>45545</v>
      </c>
      <c r="B928" s="2">
        <v>10810</v>
      </c>
      <c r="C928" s="3">
        <f>+(NVDA_data[[#This Row],[Último]]/B927)-1</f>
        <v>1.5309476847938486E-2</v>
      </c>
    </row>
    <row r="929" spans="1:3" x14ac:dyDescent="0.25">
      <c r="A929" s="1">
        <v>45546</v>
      </c>
      <c r="B929" s="2">
        <v>11691</v>
      </c>
      <c r="C929" s="3">
        <f>+(NVDA_data[[#This Row],[Último]]/B928)-1</f>
        <v>8.1498612395929593E-2</v>
      </c>
    </row>
    <row r="930" spans="1:3" x14ac:dyDescent="0.25">
      <c r="A930" s="1">
        <v>45547</v>
      </c>
      <c r="B930" s="2">
        <v>11914</v>
      </c>
      <c r="C930" s="3">
        <f>+(NVDA_data[[#This Row],[Último]]/B929)-1</f>
        <v>1.9074501753485684E-2</v>
      </c>
    </row>
    <row r="931" spans="1:3" x14ac:dyDescent="0.25">
      <c r="A931" s="1">
        <v>45548</v>
      </c>
      <c r="B931" s="2">
        <v>11910</v>
      </c>
      <c r="C931" s="3">
        <f>+(NVDA_data[[#This Row],[Último]]/B930)-1</f>
        <v>-3.3573946617426742E-4</v>
      </c>
    </row>
    <row r="932" spans="1:3" x14ac:dyDescent="0.25">
      <c r="A932" s="1">
        <v>45551</v>
      </c>
      <c r="B932" s="2">
        <v>11678</v>
      </c>
      <c r="C932" s="3">
        <f>+(NVDA_data[[#This Row],[Último]]/B931)-1</f>
        <v>-1.9479429051217467E-2</v>
      </c>
    </row>
    <row r="933" spans="1:3" x14ac:dyDescent="0.25">
      <c r="A933" s="1">
        <v>45552</v>
      </c>
      <c r="B933" s="2">
        <v>11559</v>
      </c>
      <c r="C933" s="3">
        <f>+(NVDA_data[[#This Row],[Último]]/B932)-1</f>
        <v>-1.0190101044699418E-2</v>
      </c>
    </row>
    <row r="934" spans="1:3" x14ac:dyDescent="0.25">
      <c r="A934" s="1">
        <v>45553</v>
      </c>
      <c r="B934" s="2">
        <v>11337</v>
      </c>
      <c r="C934" s="3">
        <f>+(NVDA_data[[#This Row],[Último]]/B933)-1</f>
        <v>-1.9205813651699932E-2</v>
      </c>
    </row>
    <row r="935" spans="1:3" x14ac:dyDescent="0.25">
      <c r="A935" s="1">
        <v>45554</v>
      </c>
      <c r="B935" s="2">
        <v>11787</v>
      </c>
      <c r="C935" s="3">
        <f>+(NVDA_data[[#This Row],[Último]]/B934)-1</f>
        <v>3.9693040486901365E-2</v>
      </c>
    </row>
    <row r="936" spans="1:3" x14ac:dyDescent="0.25">
      <c r="A936" s="1">
        <v>45555</v>
      </c>
      <c r="B936" s="2">
        <v>11600</v>
      </c>
      <c r="C936" s="3">
        <f>+(NVDA_data[[#This Row],[Último]]/B935)-1</f>
        <v>-1.5864935946381609E-2</v>
      </c>
    </row>
    <row r="937" spans="1:3" x14ac:dyDescent="0.25">
      <c r="A937" s="1">
        <v>45558</v>
      </c>
      <c r="B937" s="2">
        <v>11626</v>
      </c>
      <c r="C937" s="3">
        <f>+(NVDA_data[[#This Row],[Último]]/B936)-1</f>
        <v>2.2413793103448487E-3</v>
      </c>
    </row>
    <row r="938" spans="1:3" x14ac:dyDescent="0.25">
      <c r="A938" s="1">
        <v>45559</v>
      </c>
      <c r="B938" s="2">
        <v>12087</v>
      </c>
      <c r="C938" s="3">
        <f>+(NVDA_data[[#This Row],[Último]]/B937)-1</f>
        <v>3.9652503010493723E-2</v>
      </c>
    </row>
    <row r="939" spans="1:3" x14ac:dyDescent="0.25">
      <c r="A939" s="1">
        <v>45560</v>
      </c>
      <c r="B939" s="2">
        <v>12351</v>
      </c>
      <c r="C939" s="3">
        <f>+(NVDA_data[[#This Row],[Último]]/B938)-1</f>
        <v>2.1841648051625695E-2</v>
      </c>
    </row>
    <row r="940" spans="1:3" x14ac:dyDescent="0.25">
      <c r="A940" s="1">
        <v>45561</v>
      </c>
      <c r="B940" s="2">
        <v>12404</v>
      </c>
      <c r="C940" s="3">
        <f>+(NVDA_data[[#This Row],[Último]]/B939)-1</f>
        <v>4.2911505141283168E-3</v>
      </c>
    </row>
    <row r="941" spans="1:3" x14ac:dyDescent="0.25">
      <c r="A941" s="1">
        <v>45562</v>
      </c>
      <c r="B941" s="2">
        <v>12140</v>
      </c>
      <c r="C941" s="3">
        <f>+(NVDA_data[[#This Row],[Último]]/B940)-1</f>
        <v>-2.1283456949371171E-2</v>
      </c>
    </row>
    <row r="942" spans="1:3" x14ac:dyDescent="0.25">
      <c r="A942" s="1">
        <v>45565</v>
      </c>
      <c r="B942" s="2">
        <v>12144</v>
      </c>
      <c r="C942" s="3">
        <f>+(NVDA_data[[#This Row],[Último]]/B941)-1</f>
        <v>3.2948929159792861E-4</v>
      </c>
    </row>
    <row r="943" spans="1:3" x14ac:dyDescent="0.25">
      <c r="A943" s="1">
        <v>45566</v>
      </c>
      <c r="B943" s="2">
        <v>11700</v>
      </c>
      <c r="C943" s="3">
        <f>+(NVDA_data[[#This Row],[Último]]/B942)-1</f>
        <v>-3.6561264822134398E-2</v>
      </c>
    </row>
    <row r="944" spans="1:3" x14ac:dyDescent="0.25">
      <c r="A944" s="1">
        <v>45567</v>
      </c>
      <c r="B944" s="2">
        <v>11885</v>
      </c>
      <c r="C944" s="3">
        <f>+(NVDA_data[[#This Row],[Último]]/B943)-1</f>
        <v>1.5811965811965756E-2</v>
      </c>
    </row>
    <row r="945" spans="1:3" x14ac:dyDescent="0.25">
      <c r="A945" s="1">
        <v>45568</v>
      </c>
      <c r="B945" s="2">
        <v>12285</v>
      </c>
      <c r="C945" s="3">
        <f>+(NVDA_data[[#This Row],[Último]]/B944)-1</f>
        <v>3.3655868742112016E-2</v>
      </c>
    </row>
    <row r="946" spans="1:3" x14ac:dyDescent="0.25">
      <c r="A946" s="1">
        <v>45569</v>
      </c>
      <c r="B946" s="2">
        <v>12492</v>
      </c>
      <c r="C946" s="3">
        <f>+(NVDA_data[[#This Row],[Último]]/B945)-1</f>
        <v>1.684981684981679E-2</v>
      </c>
    </row>
    <row r="947" spans="1:3" x14ac:dyDescent="0.25">
      <c r="A947" s="1">
        <v>45572</v>
      </c>
      <c r="B947" s="2">
        <v>12772</v>
      </c>
      <c r="C947" s="3">
        <f>+(NVDA_data[[#This Row],[Último]]/B946)-1</f>
        <v>2.2414345180915785E-2</v>
      </c>
    </row>
    <row r="948" spans="1:3" x14ac:dyDescent="0.25">
      <c r="A948" s="1">
        <v>45573</v>
      </c>
      <c r="B948" s="2">
        <v>13289</v>
      </c>
      <c r="C948" s="3">
        <f>+(NVDA_data[[#This Row],[Último]]/B947)-1</f>
        <v>4.0479173191356077E-2</v>
      </c>
    </row>
    <row r="949" spans="1:3" x14ac:dyDescent="0.25">
      <c r="A949" s="1">
        <v>45574</v>
      </c>
      <c r="B949" s="2">
        <v>13265</v>
      </c>
      <c r="C949" s="3">
        <f>+(NVDA_data[[#This Row],[Último]]/B948)-1</f>
        <v>-1.8060049665136191E-3</v>
      </c>
    </row>
    <row r="950" spans="1:3" x14ac:dyDescent="0.25">
      <c r="A950" s="1">
        <v>45575</v>
      </c>
      <c r="B950" s="2">
        <v>13481</v>
      </c>
      <c r="C950" s="3">
        <f>+(NVDA_data[[#This Row],[Último]]/B949)-1</f>
        <v>1.6283452695062151E-2</v>
      </c>
    </row>
    <row r="951" spans="1:3" x14ac:dyDescent="0.25">
      <c r="A951" s="1">
        <v>45576</v>
      </c>
      <c r="B951" s="2">
        <v>13480</v>
      </c>
      <c r="C951" s="3">
        <f>+(NVDA_data[[#This Row],[Último]]/B950)-1</f>
        <v>-7.4178473407071621E-5</v>
      </c>
    </row>
    <row r="952" spans="1:3" x14ac:dyDescent="0.25">
      <c r="A952" s="1">
        <v>45579</v>
      </c>
      <c r="B952" s="2">
        <v>13807</v>
      </c>
      <c r="C952" s="3">
        <f>+(NVDA_data[[#This Row],[Último]]/B951)-1</f>
        <v>2.4258160237388804E-2</v>
      </c>
    </row>
    <row r="953" spans="1:3" x14ac:dyDescent="0.25">
      <c r="A953" s="1">
        <v>45580</v>
      </c>
      <c r="B953" s="2">
        <v>13160</v>
      </c>
      <c r="C953" s="3">
        <f>+(NVDA_data[[#This Row],[Último]]/B952)-1</f>
        <v>-4.6860288259578442E-2</v>
      </c>
    </row>
    <row r="954" spans="1:3" x14ac:dyDescent="0.25">
      <c r="A954" s="1">
        <v>45581</v>
      </c>
      <c r="B954" s="2">
        <v>13572</v>
      </c>
      <c r="C954" s="3">
        <f>+(NVDA_data[[#This Row],[Último]]/B953)-1</f>
        <v>3.130699088145894E-2</v>
      </c>
    </row>
    <row r="955" spans="1:3" x14ac:dyDescent="0.25">
      <c r="A955" s="1">
        <v>45582</v>
      </c>
      <c r="B955" s="2">
        <v>13693</v>
      </c>
      <c r="C955" s="3">
        <f>+(NVDA_data[[#This Row],[Último]]/B954)-1</f>
        <v>8.915414087827811E-3</v>
      </c>
    </row>
    <row r="956" spans="1:3" x14ac:dyDescent="0.25">
      <c r="A956" s="1">
        <v>45583</v>
      </c>
      <c r="B956" s="2">
        <v>13800</v>
      </c>
      <c r="C956" s="3">
        <f>+(NVDA_data[[#This Row],[Último]]/B955)-1</f>
        <v>7.814211640984503E-3</v>
      </c>
    </row>
    <row r="957" spans="1:3" x14ac:dyDescent="0.25">
      <c r="A957" s="1">
        <v>45586</v>
      </c>
      <c r="B957" s="2">
        <v>14371</v>
      </c>
      <c r="C957" s="3">
        <f>+(NVDA_data[[#This Row],[Último]]/B956)-1</f>
        <v>4.1376811594202811E-2</v>
      </c>
    </row>
    <row r="958" spans="1:3" x14ac:dyDescent="0.25">
      <c r="A958" s="1">
        <v>45587</v>
      </c>
      <c r="B958" s="2">
        <v>14359</v>
      </c>
      <c r="C958" s="3">
        <f>+(NVDA_data[[#This Row],[Último]]/B957)-1</f>
        <v>-8.3501496068472125E-4</v>
      </c>
    </row>
    <row r="959" spans="1:3" x14ac:dyDescent="0.25">
      <c r="A959" s="1">
        <v>45588</v>
      </c>
      <c r="B959" s="2">
        <v>13956</v>
      </c>
      <c r="C959" s="3">
        <f>+(NVDA_data[[#This Row],[Último]]/B958)-1</f>
        <v>-2.8066021310676259E-2</v>
      </c>
    </row>
    <row r="960" spans="1:3" x14ac:dyDescent="0.25">
      <c r="A960" s="1">
        <v>45589</v>
      </c>
      <c r="B960" s="2">
        <v>14041</v>
      </c>
      <c r="C960" s="3">
        <f>+(NVDA_data[[#This Row],[Último]]/B959)-1</f>
        <v>6.0905703640010689E-3</v>
      </c>
    </row>
    <row r="961" spans="1:3" x14ac:dyDescent="0.25">
      <c r="A961" s="1">
        <v>45590</v>
      </c>
      <c r="B961" s="2">
        <v>14154</v>
      </c>
      <c r="C961" s="3">
        <f>+(NVDA_data[[#This Row],[Último]]/B960)-1</f>
        <v>8.0478598390427702E-3</v>
      </c>
    </row>
    <row r="962" spans="1:3" x14ac:dyDescent="0.25">
      <c r="A962" s="1">
        <v>45593</v>
      </c>
      <c r="B962" s="2">
        <v>14052</v>
      </c>
      <c r="C962" s="3">
        <f>+(NVDA_data[[#This Row],[Último]]/B961)-1</f>
        <v>-7.2064434082238504E-3</v>
      </c>
    </row>
    <row r="963" spans="1:3" x14ac:dyDescent="0.25">
      <c r="A963" s="1">
        <v>45594</v>
      </c>
      <c r="B963" s="2">
        <v>14125</v>
      </c>
      <c r="C963" s="3">
        <f>+(NVDA_data[[#This Row],[Último]]/B962)-1</f>
        <v>5.1949900370054092E-3</v>
      </c>
    </row>
    <row r="964" spans="1:3" x14ac:dyDescent="0.25">
      <c r="A964" s="1">
        <v>45595</v>
      </c>
      <c r="B964" s="2">
        <v>13934</v>
      </c>
      <c r="C964" s="3">
        <f>+(NVDA_data[[#This Row],[Último]]/B963)-1</f>
        <v>-1.352212389380536E-2</v>
      </c>
    </row>
    <row r="965" spans="1:3" x14ac:dyDescent="0.25">
      <c r="A965" s="1">
        <v>45596</v>
      </c>
      <c r="B965" s="2">
        <v>13276</v>
      </c>
      <c r="C965" s="3">
        <f>+(NVDA_data[[#This Row],[Último]]/B964)-1</f>
        <v>-4.7222620927228398E-2</v>
      </c>
    </row>
    <row r="966" spans="1:3" x14ac:dyDescent="0.25">
      <c r="A966" s="1">
        <v>45597</v>
      </c>
      <c r="B966" s="2">
        <v>13540</v>
      </c>
      <c r="C966" s="3">
        <f>+(NVDA_data[[#This Row],[Último]]/B965)-1</f>
        <v>1.9885507683037096E-2</v>
      </c>
    </row>
    <row r="967" spans="1:3" x14ac:dyDescent="0.25">
      <c r="A967" s="1">
        <v>45600</v>
      </c>
      <c r="B967" s="2">
        <v>13605</v>
      </c>
      <c r="C967" s="3">
        <f>+(NVDA_data[[#This Row],[Último]]/B966)-1</f>
        <v>4.8005908419497256E-3</v>
      </c>
    </row>
    <row r="968" spans="1:3" x14ac:dyDescent="0.25">
      <c r="A968" s="1">
        <v>45601</v>
      </c>
      <c r="B968" s="2">
        <v>13991</v>
      </c>
      <c r="C968" s="3">
        <f>+(NVDA_data[[#This Row],[Último]]/B967)-1</f>
        <v>2.837192208746786E-2</v>
      </c>
    </row>
    <row r="969" spans="1:3" x14ac:dyDescent="0.25">
      <c r="A969" s="1">
        <v>45602</v>
      </c>
      <c r="B969" s="2">
        <v>14561</v>
      </c>
      <c r="C969" s="3">
        <f>+(NVDA_data[[#This Row],[Último]]/B968)-1</f>
        <v>4.0740476020298733E-2</v>
      </c>
    </row>
    <row r="970" spans="1:3" x14ac:dyDescent="0.25">
      <c r="A970" s="1">
        <v>45603</v>
      </c>
      <c r="B970" s="2">
        <v>14888</v>
      </c>
      <c r="C970" s="3">
        <f>+(NVDA_data[[#This Row],[Último]]/B969)-1</f>
        <v>2.2457248815328512E-2</v>
      </c>
    </row>
    <row r="971" spans="1:3" x14ac:dyDescent="0.25">
      <c r="A971" s="1">
        <v>45604</v>
      </c>
      <c r="B971" s="2">
        <v>14763</v>
      </c>
      <c r="C971" s="3">
        <f>+(NVDA_data[[#This Row],[Último]]/B970)-1</f>
        <v>-8.396023643202577E-3</v>
      </c>
    </row>
    <row r="972" spans="1:3" x14ac:dyDescent="0.25">
      <c r="A972" s="1">
        <v>45607</v>
      </c>
      <c r="B972" s="2">
        <v>14526</v>
      </c>
      <c r="C972" s="3">
        <f>+(NVDA_data[[#This Row],[Último]]/B971)-1</f>
        <v>-1.6053647632594981E-2</v>
      </c>
    </row>
    <row r="973" spans="1:3" x14ac:dyDescent="0.25">
      <c r="A973" s="1">
        <v>45608</v>
      </c>
      <c r="B973" s="2">
        <v>14829</v>
      </c>
      <c r="C973" s="3">
        <f>+(NVDA_data[[#This Row],[Último]]/B972)-1</f>
        <v>2.0859149111937203E-2</v>
      </c>
    </row>
    <row r="974" spans="1:3" x14ac:dyDescent="0.25">
      <c r="A974" s="1">
        <v>45609</v>
      </c>
      <c r="B974" s="2">
        <v>14627</v>
      </c>
      <c r="C974" s="3">
        <f>+(NVDA_data[[#This Row],[Último]]/B973)-1</f>
        <v>-1.3621956976195282E-2</v>
      </c>
    </row>
    <row r="975" spans="1:3" x14ac:dyDescent="0.25">
      <c r="A975" s="1">
        <v>45610</v>
      </c>
      <c r="B975" s="2">
        <v>14676</v>
      </c>
      <c r="C975" s="3">
        <f>+(NVDA_data[[#This Row],[Último]]/B974)-1</f>
        <v>3.3499692349763244E-3</v>
      </c>
    </row>
    <row r="976" spans="1:3" x14ac:dyDescent="0.25">
      <c r="A976" s="1">
        <v>45611</v>
      </c>
      <c r="B976" s="2">
        <v>14198</v>
      </c>
      <c r="C976" s="3">
        <f>+(NVDA_data[[#This Row],[Último]]/B975)-1</f>
        <v>-3.2570182611065701E-2</v>
      </c>
    </row>
    <row r="977" spans="1:3" x14ac:dyDescent="0.25">
      <c r="A977" s="1">
        <v>45614</v>
      </c>
      <c r="B977" s="2">
        <v>14015</v>
      </c>
      <c r="C977" s="3">
        <f>+(NVDA_data[[#This Row],[Último]]/B976)-1</f>
        <v>-1.2889139315396481E-2</v>
      </c>
    </row>
    <row r="978" spans="1:3" x14ac:dyDescent="0.25">
      <c r="A978" s="1">
        <v>45615</v>
      </c>
      <c r="B978" s="2">
        <v>14701</v>
      </c>
      <c r="C978" s="3">
        <f>+(NVDA_data[[#This Row],[Último]]/B977)-1</f>
        <v>4.8947556189796737E-2</v>
      </c>
    </row>
    <row r="979" spans="1:3" x14ac:dyDescent="0.25">
      <c r="A979" s="1">
        <v>45616</v>
      </c>
      <c r="B979" s="2">
        <v>14589</v>
      </c>
      <c r="C979" s="3">
        <f>+(NVDA_data[[#This Row],[Último]]/B978)-1</f>
        <v>-7.618529351744785E-3</v>
      </c>
    </row>
    <row r="980" spans="1:3" x14ac:dyDescent="0.25">
      <c r="A980" s="1">
        <v>45617</v>
      </c>
      <c r="B980" s="2">
        <v>14667</v>
      </c>
      <c r="C980" s="3">
        <f>+(NVDA_data[[#This Row],[Último]]/B979)-1</f>
        <v>5.3464939337857231E-3</v>
      </c>
    </row>
    <row r="981" spans="1:3" x14ac:dyDescent="0.25">
      <c r="A981" s="1">
        <v>45618</v>
      </c>
      <c r="B981" s="2">
        <v>14195</v>
      </c>
      <c r="C981" s="3">
        <f>+(NVDA_data[[#This Row],[Último]]/B980)-1</f>
        <v>-3.2181086793481972E-2</v>
      </c>
    </row>
    <row r="982" spans="1:3" x14ac:dyDescent="0.25">
      <c r="A982" s="1">
        <v>45621</v>
      </c>
      <c r="B982" s="2">
        <v>13602</v>
      </c>
      <c r="C982" s="3">
        <f>+(NVDA_data[[#This Row],[Último]]/B981)-1</f>
        <v>-4.1775272983444856E-2</v>
      </c>
    </row>
    <row r="983" spans="1:3" x14ac:dyDescent="0.25">
      <c r="A983" s="1">
        <v>45622</v>
      </c>
      <c r="B983" s="2">
        <v>13692</v>
      </c>
      <c r="C983" s="3">
        <f>+(NVDA_data[[#This Row],[Último]]/B982)-1</f>
        <v>6.6166740185267248E-3</v>
      </c>
    </row>
    <row r="984" spans="1:3" x14ac:dyDescent="0.25">
      <c r="A984" s="1">
        <v>45623</v>
      </c>
      <c r="B984" s="2">
        <v>13534</v>
      </c>
      <c r="C984" s="3">
        <f>+(NVDA_data[[#This Row],[Último]]/B983)-1</f>
        <v>-1.1539585159217047E-2</v>
      </c>
    </row>
    <row r="985" spans="1:3" x14ac:dyDescent="0.25">
      <c r="A985" s="1">
        <v>45625</v>
      </c>
      <c r="B985" s="2">
        <v>13825</v>
      </c>
      <c r="C985" s="3">
        <f>+(NVDA_data[[#This Row],[Último]]/B984)-1</f>
        <v>2.1501403871730496E-2</v>
      </c>
    </row>
    <row r="986" spans="1:3" x14ac:dyDescent="0.25">
      <c r="A986" s="1">
        <v>45628</v>
      </c>
      <c r="B986" s="2">
        <v>13863</v>
      </c>
      <c r="C986" s="3">
        <f>+(NVDA_data[[#This Row],[Último]]/B985)-1</f>
        <v>2.7486437613020165E-3</v>
      </c>
    </row>
    <row r="987" spans="1:3" x14ac:dyDescent="0.25">
      <c r="A987" s="1">
        <v>45629</v>
      </c>
      <c r="B987" s="2">
        <v>14026</v>
      </c>
      <c r="C987" s="3">
        <f>+(NVDA_data[[#This Row],[Último]]/B986)-1</f>
        <v>1.1757916756834685E-2</v>
      </c>
    </row>
    <row r="988" spans="1:3" x14ac:dyDescent="0.25">
      <c r="A988" s="1">
        <v>45630</v>
      </c>
      <c r="B988" s="2">
        <v>14514</v>
      </c>
      <c r="C988" s="3">
        <f>+(NVDA_data[[#This Row],[Último]]/B987)-1</f>
        <v>3.479252816198497E-2</v>
      </c>
    </row>
    <row r="989" spans="1:3" x14ac:dyDescent="0.25">
      <c r="A989" s="1">
        <v>45631</v>
      </c>
      <c r="B989" s="2">
        <v>14506</v>
      </c>
      <c r="C989" s="3">
        <f>+(NVDA_data[[#This Row],[Último]]/B988)-1</f>
        <v>-5.511919525974518E-4</v>
      </c>
    </row>
    <row r="990" spans="1:3" x14ac:dyDescent="0.25">
      <c r="A990" s="1">
        <v>45632</v>
      </c>
      <c r="B990" s="2">
        <v>14244</v>
      </c>
      <c r="C990" s="3">
        <f>+(NVDA_data[[#This Row],[Último]]/B989)-1</f>
        <v>-1.8061491796497964E-2</v>
      </c>
    </row>
    <row r="991" spans="1:3" x14ac:dyDescent="0.25">
      <c r="A991" s="1">
        <v>45635</v>
      </c>
      <c r="B991" s="2">
        <v>13881</v>
      </c>
      <c r="C991" s="3">
        <f>+(NVDA_data[[#This Row],[Último]]/B990)-1</f>
        <v>-2.5484414490311691E-2</v>
      </c>
    </row>
    <row r="992" spans="1:3" x14ac:dyDescent="0.25">
      <c r="A992" s="1">
        <v>45636</v>
      </c>
      <c r="B992" s="2">
        <v>13507</v>
      </c>
      <c r="C992" s="3">
        <f>+(NVDA_data[[#This Row],[Último]]/B991)-1</f>
        <v>-2.6943303796556406E-2</v>
      </c>
    </row>
    <row r="993" spans="1:3" x14ac:dyDescent="0.25">
      <c r="A993" s="1">
        <v>45637</v>
      </c>
      <c r="B993" s="2">
        <v>13931</v>
      </c>
      <c r="C993" s="3">
        <f>+(NVDA_data[[#This Row],[Último]]/B992)-1</f>
        <v>3.1391130524913047E-2</v>
      </c>
    </row>
    <row r="994" spans="1:3" x14ac:dyDescent="0.25">
      <c r="A994" s="1">
        <v>45638</v>
      </c>
      <c r="B994" s="2">
        <v>13734</v>
      </c>
      <c r="C994" s="3">
        <f>+(NVDA_data[[#This Row],[Último]]/B993)-1</f>
        <v>-1.4141124111693326E-2</v>
      </c>
    </row>
    <row r="995" spans="1:3" x14ac:dyDescent="0.25">
      <c r="A995" s="1">
        <v>45639</v>
      </c>
      <c r="B995" s="2">
        <v>13425</v>
      </c>
      <c r="C995" s="3">
        <f>+(NVDA_data[[#This Row],[Último]]/B994)-1</f>
        <v>-2.249890782000874E-2</v>
      </c>
    </row>
    <row r="996" spans="1:3" x14ac:dyDescent="0.25">
      <c r="A996" s="1">
        <v>45642</v>
      </c>
      <c r="B996" s="2">
        <v>13200</v>
      </c>
      <c r="C996" s="3">
        <f>+(NVDA_data[[#This Row],[Último]]/B995)-1</f>
        <v>-1.6759776536312887E-2</v>
      </c>
    </row>
    <row r="997" spans="1:3" x14ac:dyDescent="0.25">
      <c r="A997" s="1">
        <v>45643</v>
      </c>
      <c r="B997" s="2">
        <v>13039</v>
      </c>
      <c r="C997" s="3">
        <f>+(NVDA_data[[#This Row],[Último]]/B996)-1</f>
        <v>-1.2196969696969706E-2</v>
      </c>
    </row>
    <row r="998" spans="1:3" x14ac:dyDescent="0.25">
      <c r="A998" s="1">
        <v>45644</v>
      </c>
      <c r="B998" s="2">
        <v>12891</v>
      </c>
      <c r="C998" s="3">
        <f>+(NVDA_data[[#This Row],[Último]]/B997)-1</f>
        <v>-1.1350563693534821E-2</v>
      </c>
    </row>
    <row r="999" spans="1:3" x14ac:dyDescent="0.25">
      <c r="A999" s="1">
        <v>45645</v>
      </c>
      <c r="B999" s="2">
        <v>13068</v>
      </c>
      <c r="C999" s="3">
        <f>+(NVDA_data[[#This Row],[Último]]/B998)-1</f>
        <v>1.3730509657900791E-2</v>
      </c>
    </row>
    <row r="1000" spans="1:3" x14ac:dyDescent="0.25">
      <c r="A1000" s="1">
        <v>45646</v>
      </c>
      <c r="B1000" s="2">
        <v>13470</v>
      </c>
      <c r="C1000" s="3">
        <f>+(NVDA_data[[#This Row],[Último]]/B999)-1</f>
        <v>3.0762167125803597E-2</v>
      </c>
    </row>
    <row r="1001" spans="1:3" x14ac:dyDescent="0.25">
      <c r="A1001" s="1">
        <v>45649</v>
      </c>
      <c r="B1001" s="2">
        <v>13967</v>
      </c>
      <c r="C1001" s="3">
        <f>+(NVDA_data[[#This Row],[Último]]/B1000)-1</f>
        <v>3.6896807720861124E-2</v>
      </c>
    </row>
    <row r="1002" spans="1:3" x14ac:dyDescent="0.25">
      <c r="A1002" s="1">
        <v>45650</v>
      </c>
      <c r="B1002" s="2">
        <v>14022</v>
      </c>
      <c r="C1002" s="3">
        <f>+(NVDA_data[[#This Row],[Último]]/B1001)-1</f>
        <v>3.9378535118492763E-3</v>
      </c>
    </row>
    <row r="1003" spans="1:3" x14ac:dyDescent="0.25">
      <c r="A1003" s="1">
        <v>45652</v>
      </c>
      <c r="B1003" s="2">
        <v>13993</v>
      </c>
      <c r="C1003" s="3">
        <f>+(NVDA_data[[#This Row],[Último]]/B1002)-1</f>
        <v>-2.068178576522639E-3</v>
      </c>
    </row>
    <row r="1004" spans="1:3" x14ac:dyDescent="0.25">
      <c r="A1004" s="1">
        <v>45653</v>
      </c>
      <c r="B1004" s="2">
        <v>13701</v>
      </c>
      <c r="C1004" s="3">
        <f>+(NVDA_data[[#This Row],[Último]]/B1003)-1</f>
        <v>-2.0867576645465569E-2</v>
      </c>
    </row>
    <row r="1005" spans="1:3" x14ac:dyDescent="0.25">
      <c r="A1005" s="1">
        <v>45656</v>
      </c>
      <c r="B1005" s="2">
        <v>13749</v>
      </c>
      <c r="C1005" s="3">
        <f>+(NVDA_data[[#This Row],[Último]]/B1004)-1</f>
        <v>3.5033939128530367E-3</v>
      </c>
    </row>
    <row r="1006" spans="1:3" x14ac:dyDescent="0.25">
      <c r="A1006" s="1">
        <v>45657</v>
      </c>
      <c r="B1006" s="2">
        <v>13429</v>
      </c>
      <c r="C1006" s="3">
        <f>+(NVDA_data[[#This Row],[Último]]/B1005)-1</f>
        <v>-2.3274419957815096E-2</v>
      </c>
    </row>
    <row r="1007" spans="1:3" x14ac:dyDescent="0.25">
      <c r="A1007" s="1">
        <v>45659</v>
      </c>
      <c r="B1007" s="2">
        <v>13831</v>
      </c>
      <c r="C1007" s="3">
        <f>+(NVDA_data[[#This Row],[Último]]/B1006)-1</f>
        <v>2.9935214833569201E-2</v>
      </c>
    </row>
    <row r="1008" spans="1:3" x14ac:dyDescent="0.25">
      <c r="A1008" s="1">
        <v>45660</v>
      </c>
      <c r="B1008" s="2">
        <v>14447</v>
      </c>
      <c r="C1008" s="3">
        <f>+(NVDA_data[[#This Row],[Último]]/B1007)-1</f>
        <v>4.4537632853734355E-2</v>
      </c>
    </row>
    <row r="1009" spans="1:3" x14ac:dyDescent="0.25">
      <c r="A1009" s="1">
        <v>45663</v>
      </c>
      <c r="B1009" s="2">
        <v>14943</v>
      </c>
      <c r="C1009" s="3">
        <f>+(NVDA_data[[#This Row],[Último]]/B1008)-1</f>
        <v>3.4332387346853954E-2</v>
      </c>
    </row>
    <row r="1010" spans="1:3" x14ac:dyDescent="0.25">
      <c r="A1010" s="1">
        <v>45664</v>
      </c>
      <c r="B1010" s="2">
        <v>14014</v>
      </c>
      <c r="C1010" s="3">
        <f>+(NVDA_data[[#This Row],[Último]]/B1009)-1</f>
        <v>-6.2169577728702352E-2</v>
      </c>
    </row>
    <row r="1011" spans="1:3" x14ac:dyDescent="0.25">
      <c r="A1011" s="1">
        <v>45665</v>
      </c>
      <c r="B1011" s="2">
        <v>14011</v>
      </c>
      <c r="C1011" s="3">
        <f>+(NVDA_data[[#This Row],[Último]]/B1010)-1</f>
        <v>-2.1407164264308776E-4</v>
      </c>
    </row>
    <row r="1012" spans="1:3" x14ac:dyDescent="0.25">
      <c r="A1012" s="1">
        <v>45667</v>
      </c>
      <c r="B1012" s="2">
        <v>13591</v>
      </c>
      <c r="C1012" s="3">
        <f>+(NVDA_data[[#This Row],[Último]]/B1011)-1</f>
        <v>-2.9976447077296409E-2</v>
      </c>
    </row>
    <row r="1013" spans="1:3" x14ac:dyDescent="0.25">
      <c r="A1013" s="1">
        <v>45670</v>
      </c>
      <c r="B1013" s="2">
        <v>13323</v>
      </c>
      <c r="C1013" s="3">
        <f>+(NVDA_data[[#This Row],[Último]]/B1012)-1</f>
        <v>-1.9718931645942184E-2</v>
      </c>
    </row>
    <row r="1014" spans="1:3" x14ac:dyDescent="0.25">
      <c r="A1014" s="1">
        <v>45671</v>
      </c>
      <c r="B1014" s="2">
        <v>13176</v>
      </c>
      <c r="C1014" s="3">
        <f>+(NVDA_data[[#This Row],[Último]]/B1013)-1</f>
        <v>-1.103355100202652E-2</v>
      </c>
    </row>
    <row r="1015" spans="1:3" x14ac:dyDescent="0.25">
      <c r="A1015" s="1">
        <v>45672</v>
      </c>
      <c r="B1015" s="2">
        <v>13624</v>
      </c>
      <c r="C1015" s="3">
        <f>+(NVDA_data[[#This Row],[Último]]/B1014)-1</f>
        <v>3.4001214329083096E-2</v>
      </c>
    </row>
    <row r="1016" spans="1:3" x14ac:dyDescent="0.25">
      <c r="A1016" s="1">
        <v>45673</v>
      </c>
      <c r="B1016" s="2">
        <v>13357</v>
      </c>
      <c r="C1016" s="3">
        <f>+(NVDA_data[[#This Row],[Último]]/B1015)-1</f>
        <v>-1.9597768643570213E-2</v>
      </c>
    </row>
    <row r="1017" spans="1:3" x14ac:dyDescent="0.25">
      <c r="A1017" s="1">
        <v>45674</v>
      </c>
      <c r="B1017" s="2">
        <v>13771</v>
      </c>
      <c r="C1017" s="3">
        <f>+(NVDA_data[[#This Row],[Último]]/B1016)-1</f>
        <v>3.0994983903571249E-2</v>
      </c>
    </row>
    <row r="1018" spans="1:3" x14ac:dyDescent="0.25">
      <c r="A1018" s="1">
        <v>45678</v>
      </c>
      <c r="B1018" s="2">
        <v>14083</v>
      </c>
      <c r="C1018" s="3">
        <f>+(NVDA_data[[#This Row],[Último]]/B1017)-1</f>
        <v>2.265630673153729E-2</v>
      </c>
    </row>
    <row r="1019" spans="1:3" x14ac:dyDescent="0.25">
      <c r="A1019" s="1">
        <v>45679</v>
      </c>
      <c r="B1019" s="2">
        <v>14707</v>
      </c>
      <c r="C1019" s="3">
        <f>+(NVDA_data[[#This Row],[Último]]/B1018)-1</f>
        <v>4.43087410352907E-2</v>
      </c>
    </row>
    <row r="1020" spans="1:3" x14ac:dyDescent="0.25">
      <c r="A1020" s="1">
        <v>45680</v>
      </c>
      <c r="B1020" s="2">
        <v>14722</v>
      </c>
      <c r="C1020" s="3">
        <f>+(NVDA_data[[#This Row],[Último]]/B1019)-1</f>
        <v>1.0199224858911116E-3</v>
      </c>
    </row>
    <row r="1021" spans="1:3" x14ac:dyDescent="0.25">
      <c r="A1021" s="1">
        <v>45681</v>
      </c>
      <c r="B1021" s="2">
        <v>14262</v>
      </c>
      <c r="C1021" s="3">
        <f>+(NVDA_data[[#This Row],[Último]]/B1020)-1</f>
        <v>-3.124575465290047E-2</v>
      </c>
    </row>
    <row r="1022" spans="1:3" x14ac:dyDescent="0.25">
      <c r="A1022" s="1">
        <v>45684</v>
      </c>
      <c r="B1022" s="2">
        <v>11842</v>
      </c>
      <c r="C1022" s="3">
        <f>+(NVDA_data[[#This Row],[Último]]/B1021)-1</f>
        <v>-0.16968167157481417</v>
      </c>
    </row>
    <row r="1023" spans="1:3" x14ac:dyDescent="0.25">
      <c r="A1023" s="1">
        <v>45685</v>
      </c>
      <c r="B1023" s="2">
        <v>12899</v>
      </c>
      <c r="C1023" s="3">
        <f>+(NVDA_data[[#This Row],[Último]]/B1022)-1</f>
        <v>8.9258571187299518E-2</v>
      </c>
    </row>
    <row r="1024" spans="1:3" x14ac:dyDescent="0.25">
      <c r="A1024" s="1">
        <v>45686</v>
      </c>
      <c r="B1024" s="2">
        <v>12370</v>
      </c>
      <c r="C1024" s="3">
        <f>+(NVDA_data[[#This Row],[Último]]/B1023)-1</f>
        <v>-4.1010931079928703E-2</v>
      </c>
    </row>
    <row r="1025" spans="1:3" x14ac:dyDescent="0.25">
      <c r="A1025" s="1">
        <v>45687</v>
      </c>
      <c r="B1025" s="2">
        <v>12465</v>
      </c>
      <c r="C1025" s="3">
        <f>+(NVDA_data[[#This Row],[Último]]/B1024)-1</f>
        <v>7.6798706548100171E-3</v>
      </c>
    </row>
    <row r="1026" spans="1:3" x14ac:dyDescent="0.25">
      <c r="A1026" s="1">
        <v>45688</v>
      </c>
      <c r="B1026" s="2">
        <v>12007</v>
      </c>
      <c r="C1026" s="3">
        <f>+(NVDA_data[[#This Row],[Último]]/B1025)-1</f>
        <v>-3.6742880064179695E-2</v>
      </c>
    </row>
    <row r="1027" spans="1:3" x14ac:dyDescent="0.25">
      <c r="A1027" s="1">
        <v>45691</v>
      </c>
      <c r="B1027" s="2">
        <v>11666</v>
      </c>
      <c r="C1027" s="3">
        <f>+(NVDA_data[[#This Row],[Último]]/B1026)-1</f>
        <v>-2.8400099941700674E-2</v>
      </c>
    </row>
    <row r="1028" spans="1:3" x14ac:dyDescent="0.25">
      <c r="A1028" s="1">
        <v>45692</v>
      </c>
      <c r="B1028" s="2">
        <v>11865</v>
      </c>
      <c r="C1028" s="3">
        <f>+(NVDA_data[[#This Row],[Último]]/B1027)-1</f>
        <v>1.705811760672038E-2</v>
      </c>
    </row>
    <row r="1029" spans="1:3" x14ac:dyDescent="0.25">
      <c r="A1029" s="1">
        <v>45693</v>
      </c>
      <c r="B1029" s="2">
        <v>12483</v>
      </c>
      <c r="C1029" s="3">
        <f>+(NVDA_data[[#This Row],[Último]]/B1028)-1</f>
        <v>5.2085967130214961E-2</v>
      </c>
    </row>
    <row r="1030" spans="1:3" x14ac:dyDescent="0.25">
      <c r="A1030" s="1">
        <v>45694</v>
      </c>
      <c r="B1030" s="2">
        <v>12868</v>
      </c>
      <c r="C1030" s="3">
        <f>+(NVDA_data[[#This Row],[Último]]/B1029)-1</f>
        <v>3.0841945045261498E-2</v>
      </c>
    </row>
    <row r="1031" spans="1:3" x14ac:dyDescent="0.25">
      <c r="A1031" s="1">
        <v>45695</v>
      </c>
      <c r="B1031" s="2">
        <v>12984</v>
      </c>
      <c r="C1031" s="3">
        <f>+(NVDA_data[[#This Row],[Último]]/B1030)-1</f>
        <v>9.0146098849859246E-3</v>
      </c>
    </row>
    <row r="1032" spans="1:3" x14ac:dyDescent="0.25">
      <c r="A1032" s="1">
        <v>45698</v>
      </c>
      <c r="B1032" s="2">
        <v>13357</v>
      </c>
      <c r="C1032" s="3">
        <f>+(NVDA_data[[#This Row],[Último]]/B1031)-1</f>
        <v>2.8727664818237741E-2</v>
      </c>
    </row>
    <row r="1033" spans="1:3" x14ac:dyDescent="0.25">
      <c r="A1033" s="1">
        <v>45699</v>
      </c>
      <c r="B1033" s="2">
        <v>13280</v>
      </c>
      <c r="C1033" s="3">
        <f>+(NVDA_data[[#This Row],[Último]]/B1032)-1</f>
        <v>-5.7647675376206742E-3</v>
      </c>
    </row>
    <row r="1034" spans="1:3" x14ac:dyDescent="0.25">
      <c r="A1034" s="1">
        <v>45700</v>
      </c>
      <c r="B1034" s="2">
        <v>13114</v>
      </c>
      <c r="C1034" s="3">
        <f>+(NVDA_data[[#This Row],[Último]]/B1033)-1</f>
        <v>-1.2499999999999956E-2</v>
      </c>
    </row>
    <row r="1035" spans="1:3" x14ac:dyDescent="0.25">
      <c r="A1035" s="1">
        <v>45701</v>
      </c>
      <c r="B1035" s="2">
        <v>13529</v>
      </c>
      <c r="C1035" s="3">
        <f>+(NVDA_data[[#This Row],[Último]]/B1034)-1</f>
        <v>3.1645569620253111E-2</v>
      </c>
    </row>
    <row r="1036" spans="1:3" x14ac:dyDescent="0.25">
      <c r="A1036" s="1">
        <v>45702</v>
      </c>
      <c r="B1036" s="2">
        <v>13885</v>
      </c>
      <c r="C1036" s="3">
        <f>+(NVDA_data[[#This Row],[Último]]/B1035)-1</f>
        <v>2.6313844334392877E-2</v>
      </c>
    </row>
    <row r="1037" spans="1:3" x14ac:dyDescent="0.25">
      <c r="A1037" s="1">
        <v>45706</v>
      </c>
      <c r="B1037" s="2">
        <v>13940</v>
      </c>
      <c r="C1037" s="3">
        <f>+(NVDA_data[[#This Row],[Último]]/B1036)-1</f>
        <v>3.96110911055092E-3</v>
      </c>
    </row>
    <row r="1038" spans="1:3" x14ac:dyDescent="0.25">
      <c r="A1038" s="1">
        <v>45707</v>
      </c>
      <c r="B1038" s="2">
        <v>13923</v>
      </c>
      <c r="C1038" s="3">
        <f>+(NVDA_data[[#This Row],[Último]]/B1037)-1</f>
        <v>-1.2195121951219523E-3</v>
      </c>
    </row>
    <row r="1039" spans="1:3" x14ac:dyDescent="0.25">
      <c r="A1039" s="1">
        <v>45708</v>
      </c>
      <c r="B1039" s="2">
        <v>14011</v>
      </c>
      <c r="C1039" s="3">
        <f>+(NVDA_data[[#This Row],[Último]]/B1038)-1</f>
        <v>6.3204769087121804E-3</v>
      </c>
    </row>
    <row r="1040" spans="1:3" x14ac:dyDescent="0.25">
      <c r="A1040" s="1">
        <v>45709</v>
      </c>
      <c r="B1040" s="2">
        <v>13443</v>
      </c>
      <c r="C1040" s="3">
        <f>+(NVDA_data[[#This Row],[Último]]/B1039)-1</f>
        <v>-4.0539576047391335E-2</v>
      </c>
    </row>
    <row r="1041" spans="1:3" x14ac:dyDescent="0.25">
      <c r="A1041" s="1">
        <v>45712</v>
      </c>
      <c r="B1041" s="2">
        <v>13028</v>
      </c>
      <c r="C1041" s="3">
        <f>+(NVDA_data[[#This Row],[Último]]/B1040)-1</f>
        <v>-3.0871085323216585E-2</v>
      </c>
    </row>
    <row r="1042" spans="1:3" x14ac:dyDescent="0.25">
      <c r="A1042" s="1">
        <v>45713</v>
      </c>
      <c r="B1042" s="2">
        <v>12663</v>
      </c>
      <c r="C1042" s="3">
        <f>+(NVDA_data[[#This Row],[Último]]/B1041)-1</f>
        <v>-2.8016579674547182E-2</v>
      </c>
    </row>
    <row r="1043" spans="1:3" x14ac:dyDescent="0.25">
      <c r="A1043" s="1">
        <v>45714</v>
      </c>
      <c r="B1043" s="2">
        <v>13128</v>
      </c>
      <c r="C1043" s="3">
        <f>+(NVDA_data[[#This Row],[Último]]/B1042)-1</f>
        <v>3.6721156124141174E-2</v>
      </c>
    </row>
    <row r="1044" spans="1:3" x14ac:dyDescent="0.25">
      <c r="A1044" s="1">
        <v>45715</v>
      </c>
      <c r="B1044" s="2">
        <v>12015</v>
      </c>
      <c r="C1044" s="3">
        <f>+(NVDA_data[[#This Row],[Último]]/B1043)-1</f>
        <v>-8.4780621572212111E-2</v>
      </c>
    </row>
    <row r="1045" spans="1:3" x14ac:dyDescent="0.25">
      <c r="A1045" s="1">
        <v>45716</v>
      </c>
      <c r="B1045" s="2">
        <v>12492</v>
      </c>
      <c r="C1045" s="3">
        <f>+(NVDA_data[[#This Row],[Último]]/B1044)-1</f>
        <v>3.970037453183517E-2</v>
      </c>
    </row>
    <row r="1046" spans="1:3" x14ac:dyDescent="0.25">
      <c r="A1046" s="1">
        <v>45719</v>
      </c>
      <c r="B1046" s="2">
        <v>11406</v>
      </c>
      <c r="C1046" s="3">
        <f>+(NVDA_data[[#This Row],[Último]]/B1045)-1</f>
        <v>-8.6935638808837701E-2</v>
      </c>
    </row>
    <row r="1047" spans="1:3" x14ac:dyDescent="0.25">
      <c r="A1047" s="1">
        <v>45720</v>
      </c>
      <c r="B1047" s="2">
        <v>11599</v>
      </c>
      <c r="C1047" s="3">
        <f>+(NVDA_data[[#This Row],[Último]]/B1046)-1</f>
        <v>1.6920918814658847E-2</v>
      </c>
    </row>
    <row r="1048" spans="1:3" x14ac:dyDescent="0.25">
      <c r="A1048" s="1">
        <v>45721</v>
      </c>
      <c r="B1048" s="2">
        <v>11730</v>
      </c>
      <c r="C1048" s="3">
        <f>+(NVDA_data[[#This Row],[Último]]/B1047)-1</f>
        <v>1.1294077075610032E-2</v>
      </c>
    </row>
    <row r="1049" spans="1:3" x14ac:dyDescent="0.25">
      <c r="A1049" s="1">
        <v>45722</v>
      </c>
      <c r="B1049" s="2">
        <v>11057</v>
      </c>
      <c r="C1049" s="3">
        <f>+(NVDA_data[[#This Row],[Último]]/B1048)-1</f>
        <v>-5.737425404944585E-2</v>
      </c>
    </row>
    <row r="1050" spans="1:3" x14ac:dyDescent="0.25">
      <c r="A1050" s="1">
        <v>45723</v>
      </c>
      <c r="B1050" s="2">
        <v>11269</v>
      </c>
      <c r="C1050" s="3">
        <f>+(NVDA_data[[#This Row],[Último]]/B1049)-1</f>
        <v>1.9173374333001814E-2</v>
      </c>
    </row>
    <row r="1051" spans="1:3" x14ac:dyDescent="0.25">
      <c r="A1051" s="1">
        <v>45726</v>
      </c>
      <c r="B1051" s="2">
        <v>10698</v>
      </c>
      <c r="C1051" s="3">
        <f>+(NVDA_data[[#This Row],[Último]]/B1050)-1</f>
        <v>-5.0669979590025727E-2</v>
      </c>
    </row>
    <row r="1052" spans="1:3" x14ac:dyDescent="0.25">
      <c r="A1052" s="1">
        <v>45727</v>
      </c>
      <c r="B1052" s="2">
        <v>10876</v>
      </c>
      <c r="C1052" s="3">
        <f>+(NVDA_data[[#This Row],[Último]]/B1051)-1</f>
        <v>1.6638624041876993E-2</v>
      </c>
    </row>
    <row r="1053" spans="1:3" x14ac:dyDescent="0.25">
      <c r="A1053" s="1">
        <v>45728</v>
      </c>
      <c r="B1053" s="2">
        <v>11574</v>
      </c>
      <c r="C1053" s="3">
        <f>+(NVDA_data[[#This Row],[Último]]/B1052)-1</f>
        <v>6.4178006620080996E-2</v>
      </c>
    </row>
    <row r="1054" spans="1:3" x14ac:dyDescent="0.25">
      <c r="A1054" s="1">
        <v>45729</v>
      </c>
      <c r="B1054" s="2">
        <v>11558</v>
      </c>
      <c r="C1054" s="3">
        <f>+(NVDA_data[[#This Row],[Último]]/B1053)-1</f>
        <v>-1.382408847416583E-3</v>
      </c>
    </row>
    <row r="1055" spans="1:3" x14ac:dyDescent="0.25">
      <c r="A1055" s="1">
        <v>45730</v>
      </c>
      <c r="B1055" s="2">
        <v>12167</v>
      </c>
      <c r="C1055" s="3">
        <f>+(NVDA_data[[#This Row],[Último]]/B1054)-1</f>
        <v>5.2690776951029639E-2</v>
      </c>
    </row>
    <row r="1056" spans="1:3" x14ac:dyDescent="0.25">
      <c r="A1056" s="1">
        <v>45733</v>
      </c>
      <c r="B1056" s="2">
        <v>11953</v>
      </c>
      <c r="C1056" s="3">
        <f>+(NVDA_data[[#This Row],[Último]]/B1055)-1</f>
        <v>-1.7588559217555644E-2</v>
      </c>
    </row>
    <row r="1057" spans="1:3" x14ac:dyDescent="0.25">
      <c r="A1057" s="1">
        <v>45734</v>
      </c>
      <c r="B1057" s="2">
        <v>11543</v>
      </c>
      <c r="C1057" s="3">
        <f>+(NVDA_data[[#This Row],[Último]]/B1056)-1</f>
        <v>-3.4301012298167843E-2</v>
      </c>
    </row>
    <row r="1058" spans="1:3" x14ac:dyDescent="0.25">
      <c r="A1058" s="1">
        <v>45735</v>
      </c>
      <c r="B1058" s="2">
        <v>11752</v>
      </c>
      <c r="C1058" s="3">
        <f>+(NVDA_data[[#This Row],[Último]]/B1057)-1</f>
        <v>1.8106211556787599E-2</v>
      </c>
    </row>
    <row r="1059" spans="1:3" x14ac:dyDescent="0.25">
      <c r="A1059" s="1">
        <v>45736</v>
      </c>
      <c r="B1059" s="2">
        <v>11853</v>
      </c>
      <c r="C1059" s="3">
        <f>+(NVDA_data[[#This Row],[Último]]/B1058)-1</f>
        <v>8.5942818243702757E-3</v>
      </c>
    </row>
    <row r="1060" spans="1:3" x14ac:dyDescent="0.25">
      <c r="A1060" s="1">
        <v>45737</v>
      </c>
      <c r="B1060" s="2">
        <v>11770</v>
      </c>
      <c r="C1060" s="3">
        <f>+(NVDA_data[[#This Row],[Último]]/B1059)-1</f>
        <v>-7.0024466379819961E-3</v>
      </c>
    </row>
    <row r="1061" spans="1:3" x14ac:dyDescent="0.25">
      <c r="A1061" s="1">
        <v>45740</v>
      </c>
      <c r="B1061" s="2">
        <v>12141</v>
      </c>
      <c r="C1061" s="3">
        <f>+(NVDA_data[[#This Row],[Último]]/B1060)-1</f>
        <v>3.152081563296516E-2</v>
      </c>
    </row>
    <row r="1062" spans="1:3" x14ac:dyDescent="0.25">
      <c r="A1062" s="1">
        <v>45741</v>
      </c>
      <c r="B1062" s="2">
        <v>12069</v>
      </c>
      <c r="C1062" s="3">
        <f>+(NVDA_data[[#This Row],[Último]]/B1061)-1</f>
        <v>-5.9303187546330127E-3</v>
      </c>
    </row>
    <row r="1063" spans="1:3" x14ac:dyDescent="0.25">
      <c r="A1063" s="1">
        <v>45742</v>
      </c>
      <c r="B1063" s="2">
        <v>11376</v>
      </c>
      <c r="C1063" s="3">
        <f>+(NVDA_data[[#This Row],[Último]]/B1062)-1</f>
        <v>-5.7419835943325892E-2</v>
      </c>
    </row>
    <row r="1064" spans="1:3" x14ac:dyDescent="0.25">
      <c r="A1064" s="1">
        <v>45743</v>
      </c>
      <c r="B1064" s="2">
        <v>11143</v>
      </c>
      <c r="C1064" s="3">
        <f>+(NVDA_data[[#This Row],[Último]]/B1063)-1</f>
        <v>-2.0481715893108321E-2</v>
      </c>
    </row>
    <row r="1065" spans="1:3" x14ac:dyDescent="0.25">
      <c r="A1065" s="1">
        <v>45744</v>
      </c>
      <c r="B1065" s="2">
        <v>10967</v>
      </c>
      <c r="C1065" s="3">
        <f>+(NVDA_data[[#This Row],[Último]]/B1064)-1</f>
        <v>-1.5794669299111552E-2</v>
      </c>
    </row>
    <row r="1066" spans="1:3" x14ac:dyDescent="0.25">
      <c r="A1066" s="1">
        <v>45747</v>
      </c>
      <c r="B1066" s="2">
        <v>10838</v>
      </c>
      <c r="C1066" s="3">
        <f>+(NVDA_data[[#This Row],[Último]]/B1065)-1</f>
        <v>-1.1762560408498213E-2</v>
      </c>
    </row>
    <row r="1067" spans="1:3" x14ac:dyDescent="0.25">
      <c r="A1067" s="1">
        <v>45748</v>
      </c>
      <c r="B1067" s="2">
        <v>11015</v>
      </c>
      <c r="C1067" s="3">
        <f>+(NVDA_data[[#This Row],[Último]]/B1066)-1</f>
        <v>1.6331426462447007E-2</v>
      </c>
    </row>
    <row r="1068" spans="1:3" x14ac:dyDescent="0.25">
      <c r="A1068" s="1">
        <v>45749</v>
      </c>
      <c r="B1068" s="2">
        <v>11042</v>
      </c>
      <c r="C1068" s="3">
        <f>+(NVDA_data[[#This Row],[Último]]/B1067)-1</f>
        <v>2.451202905129346E-3</v>
      </c>
    </row>
    <row r="1069" spans="1:3" x14ac:dyDescent="0.25">
      <c r="A1069" s="1">
        <v>45750</v>
      </c>
      <c r="B1069" s="2">
        <v>10180</v>
      </c>
      <c r="C1069" s="3">
        <f>+(NVDA_data[[#This Row],[Último]]/B1068)-1</f>
        <v>-7.806556783191454E-2</v>
      </c>
    </row>
    <row r="1070" spans="1:3" x14ac:dyDescent="0.25">
      <c r="A1070" s="1">
        <v>45751</v>
      </c>
      <c r="B1070" s="2">
        <v>9431</v>
      </c>
      <c r="C1070" s="3">
        <f>+(NVDA_data[[#This Row],[Último]]/B1069)-1</f>
        <v>-7.3575638506876206E-2</v>
      </c>
    </row>
    <row r="1071" spans="1:3" x14ac:dyDescent="0.25">
      <c r="A1071" s="1">
        <v>45754</v>
      </c>
      <c r="B1071" s="2">
        <v>9764</v>
      </c>
      <c r="C1071" s="3">
        <f>+(NVDA_data[[#This Row],[Último]]/B1070)-1</f>
        <v>3.5309087053334798E-2</v>
      </c>
    </row>
    <row r="1072" spans="1:3" x14ac:dyDescent="0.25">
      <c r="A1072" s="1">
        <v>45755</v>
      </c>
      <c r="B1072" s="2">
        <v>9630</v>
      </c>
      <c r="C1072" s="3">
        <f>+(NVDA_data[[#This Row],[Último]]/B1071)-1</f>
        <v>-1.3723883654240043E-2</v>
      </c>
    </row>
    <row r="1073" spans="1:3" x14ac:dyDescent="0.25">
      <c r="A1073" s="1">
        <v>45756</v>
      </c>
      <c r="B1073" s="2">
        <v>11433</v>
      </c>
      <c r="C1073" s="3">
        <f>+(NVDA_data[[#This Row],[Último]]/B1072)-1</f>
        <v>0.18722741433021817</v>
      </c>
    </row>
    <row r="1074" spans="1:3" x14ac:dyDescent="0.25">
      <c r="A1074" s="1">
        <v>45757</v>
      </c>
      <c r="B1074" s="2">
        <v>10757</v>
      </c>
      <c r="C1074" s="3">
        <f>+(NVDA_data[[#This Row],[Último]]/B1073)-1</f>
        <v>-5.9127088253301818E-2</v>
      </c>
    </row>
    <row r="1075" spans="1:3" x14ac:dyDescent="0.25">
      <c r="A1075" s="1">
        <v>45758</v>
      </c>
      <c r="B1075" s="2">
        <v>11093</v>
      </c>
      <c r="C1075" s="3">
        <f>+(NVDA_data[[#This Row],[Último]]/B1074)-1</f>
        <v>3.1235474574695443E-2</v>
      </c>
    </row>
    <row r="1076" spans="1:3" x14ac:dyDescent="0.25">
      <c r="A1076" s="1">
        <v>45761</v>
      </c>
      <c r="B1076" s="2">
        <v>11071</v>
      </c>
      <c r="C1076" s="3">
        <f>+(NVDA_data[[#This Row],[Último]]/B1075)-1</f>
        <v>-1.9832326692509339E-3</v>
      </c>
    </row>
    <row r="1077" spans="1:3" x14ac:dyDescent="0.25">
      <c r="A1077" s="1">
        <v>45762</v>
      </c>
      <c r="B1077" s="2">
        <v>11220</v>
      </c>
      <c r="C1077" s="3">
        <f>+(NVDA_data[[#This Row],[Último]]/B1076)-1</f>
        <v>1.3458585493631992E-2</v>
      </c>
    </row>
    <row r="1078" spans="1:3" x14ac:dyDescent="0.25">
      <c r="A1078" s="1">
        <v>45763</v>
      </c>
      <c r="B1078" s="2">
        <v>10449</v>
      </c>
      <c r="C1078" s="3">
        <f>+(NVDA_data[[#This Row],[Último]]/B1077)-1</f>
        <v>-6.871657754010696E-2</v>
      </c>
    </row>
    <row r="1079" spans="1:3" x14ac:dyDescent="0.25">
      <c r="A1079" s="1">
        <v>45764</v>
      </c>
      <c r="B1079" s="2">
        <v>10149</v>
      </c>
      <c r="C1079" s="3">
        <f>+(NVDA_data[[#This Row],[Último]]/B1078)-1</f>
        <v>-2.8710881424059753E-2</v>
      </c>
    </row>
    <row r="1080" spans="1:3" x14ac:dyDescent="0.25">
      <c r="A1080" s="1">
        <v>45768</v>
      </c>
      <c r="B1080" s="2">
        <v>9691</v>
      </c>
      <c r="C1080" s="3">
        <f>+(NVDA_data[[#This Row],[Último]]/B1079)-1</f>
        <v>-4.5127598778204714E-2</v>
      </c>
    </row>
    <row r="1081" spans="1:3" x14ac:dyDescent="0.25">
      <c r="A1081" s="1">
        <v>45769</v>
      </c>
      <c r="B1081" s="2">
        <v>9889</v>
      </c>
      <c r="C1081" s="3">
        <f>+(NVDA_data[[#This Row],[Último]]/B1080)-1</f>
        <v>2.0431328036322416E-2</v>
      </c>
    </row>
    <row r="1082" spans="1:3" x14ac:dyDescent="0.25">
      <c r="A1082" s="1">
        <v>45770</v>
      </c>
      <c r="B1082" s="2">
        <v>10271</v>
      </c>
      <c r="C1082" s="3">
        <f>+(NVDA_data[[#This Row],[Último]]/B1081)-1</f>
        <v>3.8628779451916229E-2</v>
      </c>
    </row>
    <row r="1083" spans="1:3" x14ac:dyDescent="0.25">
      <c r="A1083" s="1">
        <v>45771</v>
      </c>
      <c r="B1083" s="2">
        <v>10643</v>
      </c>
      <c r="C1083" s="3">
        <f>+(NVDA_data[[#This Row],[Último]]/B1082)-1</f>
        <v>3.621847921331911E-2</v>
      </c>
    </row>
    <row r="1084" spans="1:3" x14ac:dyDescent="0.25">
      <c r="A1084" s="1">
        <v>45772</v>
      </c>
      <c r="B1084" s="2">
        <v>11101</v>
      </c>
      <c r="C1084" s="3">
        <f>+(NVDA_data[[#This Row],[Último]]/B1083)-1</f>
        <v>4.303297942309503E-2</v>
      </c>
    </row>
    <row r="1085" spans="1:3" x14ac:dyDescent="0.25">
      <c r="A1085" s="1">
        <v>45775</v>
      </c>
      <c r="B1085" s="2">
        <v>10873</v>
      </c>
      <c r="C1085" s="3">
        <f>+(NVDA_data[[#This Row],[Último]]/B1084)-1</f>
        <v>-2.0538690208089405E-2</v>
      </c>
    </row>
    <row r="1086" spans="1:3" x14ac:dyDescent="0.25">
      <c r="A1086" s="1">
        <v>45776</v>
      </c>
      <c r="B1086" s="2">
        <v>10902</v>
      </c>
      <c r="C1086" s="3">
        <f>+(NVDA_data[[#This Row],[Último]]/B1085)-1</f>
        <v>2.6671571783316583E-3</v>
      </c>
    </row>
    <row r="1087" spans="1:3" x14ac:dyDescent="0.25">
      <c r="A1087" s="1">
        <v>45777</v>
      </c>
      <c r="B1087" s="2">
        <v>10892</v>
      </c>
      <c r="C1087" s="3">
        <f>+(NVDA_data[[#This Row],[Último]]/B1086)-1</f>
        <v>-9.1726288754356844E-4</v>
      </c>
    </row>
    <row r="1088" spans="1:3" x14ac:dyDescent="0.25">
      <c r="A1088" s="1">
        <v>45778</v>
      </c>
      <c r="B1088" s="2">
        <v>11161</v>
      </c>
      <c r="C1088" s="3">
        <f>+(NVDA_data[[#This Row],[Último]]/B1087)-1</f>
        <v>2.4697025339698753E-2</v>
      </c>
    </row>
    <row r="1089" spans="1:3" x14ac:dyDescent="0.25">
      <c r="A1089" s="1">
        <v>45779</v>
      </c>
      <c r="B1089" s="2">
        <v>11450</v>
      </c>
      <c r="C1089" s="3">
        <f>+(NVDA_data[[#This Row],[Último]]/B1088)-1</f>
        <v>2.5893737120329829E-2</v>
      </c>
    </row>
    <row r="1090" spans="1:3" x14ac:dyDescent="0.25">
      <c r="A1090" s="1">
        <v>45782</v>
      </c>
      <c r="B1090" s="2">
        <v>11382</v>
      </c>
      <c r="C1090" s="3">
        <f>+(NVDA_data[[#This Row],[Último]]/B1089)-1</f>
        <v>-5.9388646288209834E-3</v>
      </c>
    </row>
    <row r="1091" spans="1:3" x14ac:dyDescent="0.25">
      <c r="A1091" s="1">
        <v>45783</v>
      </c>
      <c r="B1091" s="2">
        <v>11354</v>
      </c>
      <c r="C1091" s="3">
        <f>+(NVDA_data[[#This Row],[Último]]/B1090)-1</f>
        <v>-2.4600246002459691E-3</v>
      </c>
    </row>
    <row r="1092" spans="1:3" x14ac:dyDescent="0.25">
      <c r="A1092" s="1">
        <v>45784</v>
      </c>
      <c r="B1092" s="2">
        <v>11706</v>
      </c>
      <c r="C1092" s="3">
        <f>+(NVDA_data[[#This Row],[Último]]/B1091)-1</f>
        <v>3.1002289941870709E-2</v>
      </c>
    </row>
    <row r="1093" spans="1:3" x14ac:dyDescent="0.25">
      <c r="A1093" s="1">
        <v>45785</v>
      </c>
      <c r="B1093" s="2">
        <v>11737</v>
      </c>
      <c r="C1093" s="3">
        <f>+(NVDA_data[[#This Row],[Último]]/B1092)-1</f>
        <v>2.6482145908082177E-3</v>
      </c>
    </row>
    <row r="1094" spans="1:3" x14ac:dyDescent="0.25">
      <c r="A1094" s="1">
        <v>45786</v>
      </c>
      <c r="B1094" s="2">
        <v>11665</v>
      </c>
      <c r="C1094" s="3">
        <f>+(NVDA_data[[#This Row],[Último]]/B1093)-1</f>
        <v>-6.1344466217942983E-3</v>
      </c>
    </row>
    <row r="1095" spans="1:3" x14ac:dyDescent="0.25">
      <c r="A1095" s="1">
        <v>45789</v>
      </c>
      <c r="B1095" s="2">
        <v>12300</v>
      </c>
      <c r="C1095" s="3">
        <f>+(NVDA_data[[#This Row],[Último]]/B1094)-1</f>
        <v>5.4436348049721417E-2</v>
      </c>
    </row>
    <row r="1096" spans="1:3" x14ac:dyDescent="0.25">
      <c r="A1096" s="1">
        <v>45790</v>
      </c>
      <c r="B1096" s="2">
        <v>12993</v>
      </c>
      <c r="C1096" s="3">
        <f>+(NVDA_data[[#This Row],[Último]]/B1095)-1</f>
        <v>5.6341463414634196E-2</v>
      </c>
    </row>
    <row r="1097" spans="1:3" x14ac:dyDescent="0.25">
      <c r="A1097" s="1">
        <v>45791</v>
      </c>
      <c r="B1097" s="2">
        <v>13534</v>
      </c>
      <c r="C1097" s="3">
        <f>+(NVDA_data[[#This Row],[Último]]/B1096)-1</f>
        <v>4.1637804971907943E-2</v>
      </c>
    </row>
    <row r="1098" spans="1:3" x14ac:dyDescent="0.25">
      <c r="A1098" s="1">
        <v>45792</v>
      </c>
      <c r="B1098" s="2">
        <v>13483</v>
      </c>
      <c r="C1098" s="3">
        <f>+(NVDA_data[[#This Row],[Último]]/B1097)-1</f>
        <v>-3.7682872764888131E-3</v>
      </c>
    </row>
    <row r="1099" spans="1:3" x14ac:dyDescent="0.25">
      <c r="A1099" s="1">
        <v>45793</v>
      </c>
      <c r="B1099" s="2">
        <v>13540</v>
      </c>
      <c r="C1099" s="3">
        <f>+(NVDA_data[[#This Row],[Último]]/B1098)-1</f>
        <v>4.2275457984128906E-3</v>
      </c>
    </row>
    <row r="1100" spans="1:3" x14ac:dyDescent="0.25">
      <c r="A1100" s="1">
        <v>45796</v>
      </c>
      <c r="B1100" s="2">
        <v>13557</v>
      </c>
      <c r="C1100" s="3">
        <f>+(NVDA_data[[#This Row],[Último]]/B1099)-1</f>
        <v>1.2555391432791385E-3</v>
      </c>
    </row>
    <row r="1101" spans="1:3" x14ac:dyDescent="0.25">
      <c r="A1101" s="1">
        <v>45797</v>
      </c>
      <c r="B1101" s="2">
        <v>13438</v>
      </c>
      <c r="C1101" s="3">
        <f>+(NVDA_data[[#This Row],[Último]]/B1100)-1</f>
        <v>-8.7777531902337724E-3</v>
      </c>
    </row>
    <row r="1102" spans="1:3" x14ac:dyDescent="0.25">
      <c r="A1102" s="1">
        <v>45798</v>
      </c>
      <c r="B1102" s="2">
        <v>13180</v>
      </c>
      <c r="C1102" s="3">
        <f>+(NVDA_data[[#This Row],[Último]]/B1101)-1</f>
        <v>-1.9199285607977346E-2</v>
      </c>
    </row>
    <row r="1103" spans="1:3" x14ac:dyDescent="0.25">
      <c r="A1103" s="1">
        <v>45799</v>
      </c>
      <c r="B1103" s="2">
        <v>13283</v>
      </c>
      <c r="C1103" s="3">
        <f>+(NVDA_data[[#This Row],[Último]]/B1102)-1</f>
        <v>7.8148710166918711E-3</v>
      </c>
    </row>
    <row r="1104" spans="1:3" x14ac:dyDescent="0.25">
      <c r="A1104" s="1">
        <v>45800</v>
      </c>
      <c r="B1104" s="2">
        <v>13129</v>
      </c>
      <c r="C1104" s="3">
        <f>+(NVDA_data[[#This Row],[Último]]/B1103)-1</f>
        <v>-1.1593766468418254E-2</v>
      </c>
    </row>
    <row r="1105" spans="1:3" x14ac:dyDescent="0.25">
      <c r="A1105" s="1">
        <v>45804</v>
      </c>
      <c r="B1105" s="2">
        <v>13550</v>
      </c>
      <c r="C1105" s="3">
        <f>+(NVDA_data[[#This Row],[Último]]/B1104)-1</f>
        <v>3.2066417853606533E-2</v>
      </c>
    </row>
    <row r="1106" spans="1:3" x14ac:dyDescent="0.25">
      <c r="A1106" s="1">
        <v>45805</v>
      </c>
      <c r="B1106" s="2">
        <v>13481</v>
      </c>
      <c r="C1106" s="3">
        <f>+(NVDA_data[[#This Row],[Último]]/B1105)-1</f>
        <v>-5.0922509225092005E-3</v>
      </c>
    </row>
    <row r="1107" spans="1:3" x14ac:dyDescent="0.25">
      <c r="A1107" s="1">
        <v>45806</v>
      </c>
      <c r="B1107" s="2">
        <v>13919</v>
      </c>
      <c r="C1107" s="3">
        <f>+(NVDA_data[[#This Row],[Último]]/B1106)-1</f>
        <v>3.2490171352273611E-2</v>
      </c>
    </row>
    <row r="1108" spans="1:3" x14ac:dyDescent="0.25">
      <c r="A1108" s="1">
        <v>45807</v>
      </c>
      <c r="B1108" s="2">
        <v>13513</v>
      </c>
      <c r="C1108" s="3">
        <f>+(NVDA_data[[#This Row],[Último]]/B1107)-1</f>
        <v>-2.9168762123715775E-2</v>
      </c>
    </row>
    <row r="1109" spans="1:3" x14ac:dyDescent="0.25">
      <c r="A1109" s="1">
        <v>45810</v>
      </c>
      <c r="B1109" s="2">
        <v>13738</v>
      </c>
      <c r="C1109" s="3">
        <f>+(NVDA_data[[#This Row],[Último]]/B1108)-1</f>
        <v>1.6650632724043435E-2</v>
      </c>
    </row>
    <row r="1110" spans="1:3" x14ac:dyDescent="0.25">
      <c r="A1110" s="1">
        <v>45811</v>
      </c>
      <c r="B1110" s="2">
        <v>14122</v>
      </c>
      <c r="C1110" s="3">
        <f>+(NVDA_data[[#This Row],[Último]]/B1109)-1</f>
        <v>2.795166690930273E-2</v>
      </c>
    </row>
    <row r="1111" spans="1:3" x14ac:dyDescent="0.25">
      <c r="A1111" s="1">
        <v>45812</v>
      </c>
      <c r="B1111" s="2">
        <v>14192</v>
      </c>
      <c r="C1111" s="3">
        <f>+(NVDA_data[[#This Row],[Último]]/B1110)-1</f>
        <v>4.9568049851296259E-3</v>
      </c>
    </row>
    <row r="1112" spans="1:3" x14ac:dyDescent="0.25">
      <c r="A1112" s="1">
        <v>45813</v>
      </c>
      <c r="B1112" s="2">
        <v>13999</v>
      </c>
      <c r="C1112" s="3">
        <f>+(NVDA_data[[#This Row],[Último]]/B1111)-1</f>
        <v>-1.3599210822998864E-2</v>
      </c>
    </row>
    <row r="1113" spans="1:3" x14ac:dyDescent="0.25">
      <c r="A1113" s="1">
        <v>45814</v>
      </c>
      <c r="B1113" s="2">
        <v>14172</v>
      </c>
      <c r="C1113" s="3">
        <f>+(NVDA_data[[#This Row],[Último]]/B1112)-1</f>
        <v>1.235802557325516E-2</v>
      </c>
    </row>
    <row r="1114" spans="1:3" x14ac:dyDescent="0.25">
      <c r="A1114" s="1">
        <v>45817</v>
      </c>
      <c r="B1114" s="2">
        <v>14263</v>
      </c>
      <c r="C1114" s="3">
        <f>+(NVDA_data[[#This Row],[Último]]/B1113)-1</f>
        <v>6.4211120519332976E-3</v>
      </c>
    </row>
    <row r="1115" spans="1:3" x14ac:dyDescent="0.25">
      <c r="A1115" s="1">
        <v>45818</v>
      </c>
      <c r="B1115" s="2">
        <v>14396</v>
      </c>
      <c r="C1115" s="3">
        <f>+(NVDA_data[[#This Row],[Último]]/B1114)-1</f>
        <v>9.324826474093717E-3</v>
      </c>
    </row>
    <row r="1116" spans="1:3" x14ac:dyDescent="0.25">
      <c r="A1116" s="1">
        <v>45819</v>
      </c>
      <c r="B1116" s="2">
        <v>14283</v>
      </c>
      <c r="C1116" s="3">
        <f>+(NVDA_data[[#This Row],[Último]]/B1115)-1</f>
        <v>-7.8494026118366422E-3</v>
      </c>
    </row>
    <row r="1117" spans="1:3" x14ac:dyDescent="0.25">
      <c r="A1117" s="1">
        <v>45820</v>
      </c>
      <c r="B1117" s="2">
        <v>14500</v>
      </c>
      <c r="C1117" s="3">
        <f>+(NVDA_data[[#This Row],[Último]]/B1116)-1</f>
        <v>1.5192886648463189E-2</v>
      </c>
    </row>
    <row r="1118" spans="1:3" x14ac:dyDescent="0.25">
      <c r="A1118" s="1">
        <v>45821</v>
      </c>
      <c r="B1118" s="2">
        <v>14197</v>
      </c>
      <c r="C1118" s="3">
        <f>+(NVDA_data[[#This Row],[Último]]/B1117)-1</f>
        <v>-2.0896551724137957E-2</v>
      </c>
    </row>
    <row r="1119" spans="1:3" x14ac:dyDescent="0.25">
      <c r="A1119" s="1">
        <v>45824</v>
      </c>
      <c r="B1119" s="2">
        <v>14469</v>
      </c>
      <c r="C1119" s="3">
        <f>+(NVDA_data[[#This Row],[Último]]/B1118)-1</f>
        <v>1.9158977248714626E-2</v>
      </c>
    </row>
    <row r="1120" spans="1:3" x14ac:dyDescent="0.25">
      <c r="A1120" s="1">
        <v>45825</v>
      </c>
      <c r="B1120" s="2">
        <v>14412</v>
      </c>
      <c r="C1120" s="3">
        <f>+(NVDA_data[[#This Row],[Último]]/B1119)-1</f>
        <v>-3.9394567696454663E-3</v>
      </c>
    </row>
    <row r="1121" spans="1:3" x14ac:dyDescent="0.25">
      <c r="A1121" s="1">
        <v>45826</v>
      </c>
      <c r="B1121" s="2">
        <v>14548</v>
      </c>
      <c r="C1121" s="3">
        <f>+(NVDA_data[[#This Row],[Último]]/B1120)-1</f>
        <v>9.4365806272551644E-3</v>
      </c>
    </row>
    <row r="1122" spans="1:3" x14ac:dyDescent="0.25">
      <c r="A1122" s="1">
        <v>45828</v>
      </c>
      <c r="B1122" s="2">
        <v>14385</v>
      </c>
      <c r="C1122" s="3">
        <f>+(NVDA_data[[#This Row],[Último]]/B1121)-1</f>
        <v>-1.1204289249381327E-2</v>
      </c>
    </row>
    <row r="1123" spans="1:3" x14ac:dyDescent="0.25">
      <c r="A1123" s="1">
        <v>45831</v>
      </c>
      <c r="B1123" s="2">
        <v>14417</v>
      </c>
      <c r="C1123" s="3">
        <f>+(NVDA_data[[#This Row],[Último]]/B1122)-1</f>
        <v>2.2245394508169092E-3</v>
      </c>
    </row>
    <row r="1124" spans="1:3" x14ac:dyDescent="0.25">
      <c r="A1124" s="1">
        <v>45832</v>
      </c>
      <c r="B1124" s="2">
        <v>14790</v>
      </c>
      <c r="C1124" s="3">
        <f>+(NVDA_data[[#This Row],[Último]]/B1123)-1</f>
        <v>2.5872234167996222E-2</v>
      </c>
    </row>
    <row r="1125" spans="1:3" x14ac:dyDescent="0.25">
      <c r="A1125" s="1">
        <v>45833</v>
      </c>
      <c r="B1125" s="2">
        <v>15431</v>
      </c>
      <c r="C1125" s="3">
        <f>+(NVDA_data[[#This Row],[Último]]/B1124)-1</f>
        <v>4.3340094658553152E-2</v>
      </c>
    </row>
    <row r="1126" spans="1:3" x14ac:dyDescent="0.25">
      <c r="A1126" s="1">
        <v>45834</v>
      </c>
      <c r="B1126" s="2">
        <v>15502</v>
      </c>
      <c r="C1126" s="3">
        <f>+(NVDA_data[[#This Row],[Último]]/B1125)-1</f>
        <v>4.6011276002850821E-3</v>
      </c>
    </row>
    <row r="1127" spans="1:3" x14ac:dyDescent="0.25">
      <c r="A1127" s="1">
        <v>45835</v>
      </c>
      <c r="B1127" s="2">
        <v>15775</v>
      </c>
      <c r="C1127" s="3">
        <f>+(NVDA_data[[#This Row],[Último]]/B1126)-1</f>
        <v>1.7610630886337297E-2</v>
      </c>
    </row>
    <row r="1128" spans="1:3" x14ac:dyDescent="0.25">
      <c r="A1128" s="1">
        <v>45838</v>
      </c>
      <c r="B1128" s="2">
        <v>15799</v>
      </c>
      <c r="C1128" s="3">
        <f>+(NVDA_data[[#This Row],[Último]]/B1127)-1</f>
        <v>1.5213946117274002E-3</v>
      </c>
    </row>
    <row r="1129" spans="1:3" x14ac:dyDescent="0.25">
      <c r="A1129" s="1">
        <v>45839</v>
      </c>
      <c r="B1129" s="2">
        <v>15330</v>
      </c>
      <c r="C1129" s="3">
        <f>+(NVDA_data[[#This Row],[Último]]/B1128)-1</f>
        <v>-2.9685423128046118E-2</v>
      </c>
    </row>
    <row r="1130" spans="1:3" x14ac:dyDescent="0.25">
      <c r="A1130" s="1">
        <v>45840</v>
      </c>
      <c r="B1130" s="2">
        <v>15725</v>
      </c>
      <c r="C1130" s="3">
        <f>+(NVDA_data[[#This Row],[Último]]/B1129)-1</f>
        <v>2.5766470971950506E-2</v>
      </c>
    </row>
    <row r="1131" spans="1:3" x14ac:dyDescent="0.25">
      <c r="A1131" s="1">
        <v>45841</v>
      </c>
      <c r="B1131" s="2">
        <v>15934</v>
      </c>
      <c r="C1131" s="3">
        <f>+(NVDA_data[[#This Row],[Último]]/B1130)-1</f>
        <v>1.329093799682024E-2</v>
      </c>
    </row>
    <row r="1132" spans="1:3" x14ac:dyDescent="0.25">
      <c r="A1132" s="1">
        <v>45845</v>
      </c>
      <c r="B1132" s="2">
        <v>15824</v>
      </c>
      <c r="C1132" s="3">
        <f>+(NVDA_data[[#This Row],[Último]]/B1131)-1</f>
        <v>-6.9034768419731218E-3</v>
      </c>
    </row>
    <row r="1133" spans="1:3" x14ac:dyDescent="0.25">
      <c r="A1133" s="1">
        <v>45846</v>
      </c>
      <c r="B1133" s="2">
        <v>16000</v>
      </c>
      <c r="C1133" s="3">
        <f>+(NVDA_data[[#This Row],[Último]]/B1132)-1</f>
        <v>1.1122345803842304E-2</v>
      </c>
    </row>
    <row r="1134" spans="1:3" x14ac:dyDescent="0.25">
      <c r="A1134" s="1">
        <v>45847</v>
      </c>
      <c r="B1134" s="2">
        <v>16288</v>
      </c>
      <c r="C1134" s="3">
        <f>+(NVDA_data[[#This Row],[Último]]/B1133)-1</f>
        <v>1.8000000000000016E-2</v>
      </c>
    </row>
    <row r="1135" spans="1:3" x14ac:dyDescent="0.25">
      <c r="A1135" s="1">
        <v>45848</v>
      </c>
      <c r="B1135" s="2">
        <v>16410</v>
      </c>
      <c r="C1135" s="3">
        <f>+(NVDA_data[[#This Row],[Último]]/B1134)-1</f>
        <v>7.4901768172888072E-3</v>
      </c>
    </row>
    <row r="1136" spans="1:3" x14ac:dyDescent="0.25">
      <c r="A1136" s="1">
        <v>45849</v>
      </c>
      <c r="B1136" s="2">
        <v>16492</v>
      </c>
      <c r="C1136" s="3">
        <f>+(NVDA_data[[#This Row],[Último]]/B1135)-1</f>
        <v>4.9969530773918969E-3</v>
      </c>
    </row>
    <row r="1137" spans="1:3" x14ac:dyDescent="0.25">
      <c r="A1137" s="1">
        <v>45852</v>
      </c>
      <c r="B1137" s="2">
        <v>16407</v>
      </c>
      <c r="C1137" s="3">
        <f>+(NVDA_data[[#This Row],[Último]]/B1136)-1</f>
        <v>-5.1540140674266599E-3</v>
      </c>
    </row>
    <row r="1138" spans="1:3" x14ac:dyDescent="0.25">
      <c r="A1138" s="1">
        <v>45853</v>
      </c>
      <c r="B1138" s="2">
        <v>17070</v>
      </c>
      <c r="C1138" s="3">
        <f>+(NVDA_data[[#This Row],[Último]]/B1137)-1</f>
        <v>4.0409581276284579E-2</v>
      </c>
    </row>
    <row r="1139" spans="1:3" x14ac:dyDescent="0.25">
      <c r="A1139" s="1">
        <v>45854</v>
      </c>
      <c r="B1139" s="2">
        <v>17137</v>
      </c>
      <c r="C1139" s="3">
        <f>+(NVDA_data[[#This Row],[Último]]/B1138)-1</f>
        <v>3.9250146455769297E-3</v>
      </c>
    </row>
    <row r="1140" spans="1:3" x14ac:dyDescent="0.25">
      <c r="A1140" s="1">
        <v>45855</v>
      </c>
      <c r="B1140" s="2">
        <v>17300</v>
      </c>
      <c r="C1140" s="3">
        <f>+(NVDA_data[[#This Row],[Último]]/B1139)-1</f>
        <v>9.5115831242340576E-3</v>
      </c>
    </row>
    <row r="1141" spans="1:3" x14ac:dyDescent="0.25">
      <c r="A1141" s="1">
        <v>45856</v>
      </c>
      <c r="B1141" s="2">
        <v>17241</v>
      </c>
      <c r="C1141" s="3">
        <f>+(NVDA_data[[#This Row],[Último]]/B1140)-1</f>
        <v>-3.4104046242774411E-3</v>
      </c>
    </row>
    <row r="1142" spans="1:3" x14ac:dyDescent="0.25">
      <c r="A1142" s="1">
        <v>45859</v>
      </c>
      <c r="B1142" s="2">
        <v>17138</v>
      </c>
      <c r="C1142" s="3">
        <f>+(NVDA_data[[#This Row],[Último]]/B1141)-1</f>
        <v>-5.9741314308914273E-3</v>
      </c>
    </row>
    <row r="1143" spans="1:3" x14ac:dyDescent="0.25">
      <c r="A1143" s="1">
        <v>45860</v>
      </c>
      <c r="B1143" s="2">
        <v>16703</v>
      </c>
      <c r="C1143" s="3">
        <f>+(NVDA_data[[#This Row],[Último]]/B1142)-1</f>
        <v>-2.5382191620959227E-2</v>
      </c>
    </row>
    <row r="1144" spans="1:3" x14ac:dyDescent="0.25">
      <c r="A1144" s="1">
        <v>45861</v>
      </c>
      <c r="B1144" s="2">
        <v>17078</v>
      </c>
      <c r="C1144" s="3">
        <f>+(NVDA_data[[#This Row],[Último]]/B1143)-1</f>
        <v>2.2451056696401794E-2</v>
      </c>
    </row>
    <row r="1145" spans="1:3" x14ac:dyDescent="0.25">
      <c r="A1145" s="1">
        <v>45862</v>
      </c>
      <c r="B1145" s="2">
        <v>17374</v>
      </c>
      <c r="C1145" s="3">
        <f>+(NVDA_data[[#This Row],[Último]]/B1144)-1</f>
        <v>1.73322403091698E-2</v>
      </c>
    </row>
    <row r="1146" spans="1:3" x14ac:dyDescent="0.25">
      <c r="A1146" s="1">
        <v>45863</v>
      </c>
      <c r="B1146" s="2">
        <v>17350</v>
      </c>
      <c r="C1146" s="3">
        <f>+(NVDA_data[[#This Row],[Último]]/B1145)-1</f>
        <v>-1.3813744675952311E-3</v>
      </c>
    </row>
    <row r="1147" spans="1:3" x14ac:dyDescent="0.25">
      <c r="A1147" s="1">
        <v>45866</v>
      </c>
      <c r="B1147" s="2">
        <v>17675</v>
      </c>
      <c r="C1147" s="3">
        <f>+(NVDA_data[[#This Row],[Último]]/B1146)-1</f>
        <v>1.8731988472622474E-2</v>
      </c>
    </row>
    <row r="1148" spans="1:3" x14ac:dyDescent="0.25">
      <c r="A1148" s="1">
        <v>45867</v>
      </c>
      <c r="B1148" s="2">
        <v>17551</v>
      </c>
      <c r="C1148" s="3">
        <f>+(NVDA_data[[#This Row],[Último]]/B1147)-1</f>
        <v>-7.0155586987270535E-3</v>
      </c>
    </row>
    <row r="1149" spans="1:3" x14ac:dyDescent="0.25">
      <c r="A1149" s="1">
        <v>45868</v>
      </c>
      <c r="B1149" s="2">
        <v>17927</v>
      </c>
      <c r="C1149" s="3">
        <f>+(NVDA_data[[#This Row],[Último]]/B1148)-1</f>
        <v>2.1423280724744975E-2</v>
      </c>
    </row>
    <row r="1150" spans="1:3" x14ac:dyDescent="0.25">
      <c r="A1150" s="1">
        <v>45869</v>
      </c>
      <c r="B1150" s="2">
        <v>17787</v>
      </c>
      <c r="C1150" s="3">
        <f>+(NVDA_data[[#This Row],[Último]]/B1149)-1</f>
        <v>-7.8094494338148968E-3</v>
      </c>
    </row>
    <row r="1151" spans="1:3" x14ac:dyDescent="0.25">
      <c r="A1151" s="1">
        <v>45870</v>
      </c>
      <c r="B1151" s="2">
        <v>17372</v>
      </c>
      <c r="C1151" s="3">
        <f>+(NVDA_data[[#This Row],[Último]]/B1150)-1</f>
        <v>-2.3331646708270037E-2</v>
      </c>
    </row>
    <row r="1152" spans="1:3" x14ac:dyDescent="0.25">
      <c r="A1152" s="1">
        <v>45873</v>
      </c>
      <c r="B1152" s="2">
        <v>18000</v>
      </c>
      <c r="C1152" s="3">
        <f>+(NVDA_data[[#This Row],[Último]]/B1151)-1</f>
        <v>3.6150126640571045E-2</v>
      </c>
    </row>
    <row r="1153" spans="1:3" x14ac:dyDescent="0.25">
      <c r="A1153" s="1">
        <v>45874</v>
      </c>
      <c r="B1153" s="2">
        <v>17826</v>
      </c>
      <c r="C1153" s="3">
        <f>+(NVDA_data[[#This Row],[Último]]/B1152)-1</f>
        <v>-9.6666666666667123E-3</v>
      </c>
    </row>
    <row r="1154" spans="1:3" x14ac:dyDescent="0.25">
      <c r="A1154" s="1">
        <v>45875</v>
      </c>
      <c r="B1154" s="2">
        <v>17942</v>
      </c>
      <c r="C1154" s="3">
        <f>+(NVDA_data[[#This Row],[Último]]/B1153)-1</f>
        <v>6.5073488163356341E-3</v>
      </c>
    </row>
    <row r="1155" spans="1:3" x14ac:dyDescent="0.25">
      <c r="A1155" s="1">
        <v>45876</v>
      </c>
      <c r="B1155" s="2">
        <v>18077</v>
      </c>
      <c r="C1155" s="3">
        <f>+(NVDA_data[[#This Row],[Último]]/B1154)-1</f>
        <v>7.5242447887637898E-3</v>
      </c>
    </row>
    <row r="1156" spans="1:3" x14ac:dyDescent="0.25">
      <c r="A1156" s="1">
        <v>45877</v>
      </c>
      <c r="B1156" s="2">
        <v>18270</v>
      </c>
      <c r="C1156" s="3">
        <f>+(NVDA_data[[#This Row],[Último]]/B1155)-1</f>
        <v>1.067655031255188E-2</v>
      </c>
    </row>
    <row r="1157" spans="1:3" x14ac:dyDescent="0.25">
      <c r="A1157" s="1">
        <v>45880</v>
      </c>
      <c r="B1157" s="2">
        <v>18206</v>
      </c>
      <c r="C1157" s="3">
        <f>+(NVDA_data[[#This Row],[Último]]/B1156)-1</f>
        <v>-3.5030103995621342E-3</v>
      </c>
    </row>
    <row r="1158" spans="1:3" x14ac:dyDescent="0.25">
      <c r="A1158" s="1">
        <v>45881</v>
      </c>
      <c r="B1158" s="2">
        <v>18316</v>
      </c>
      <c r="C1158" s="3">
        <f>+(NVDA_data[[#This Row],[Último]]/B1157)-1</f>
        <v>6.0419641876303665E-3</v>
      </c>
    </row>
    <row r="1159" spans="1:3" x14ac:dyDescent="0.25">
      <c r="A1159" s="1">
        <v>45882</v>
      </c>
      <c r="B1159" s="2">
        <v>18159</v>
      </c>
      <c r="C1159" s="3">
        <f>+(NVDA_data[[#This Row],[Último]]/B1158)-1</f>
        <v>-8.5717405547062198E-3</v>
      </c>
    </row>
    <row r="1160" spans="1:3" x14ac:dyDescent="0.25">
      <c r="A1160" s="1">
        <v>45883</v>
      </c>
      <c r="B1160" s="2">
        <v>18202</v>
      </c>
      <c r="C1160" s="3">
        <f>+(NVDA_data[[#This Row],[Último]]/B1159)-1</f>
        <v>2.367971804614788E-3</v>
      </c>
    </row>
    <row r="1161" spans="1:3" x14ac:dyDescent="0.25">
      <c r="A1161" s="1">
        <v>45884</v>
      </c>
      <c r="B1161" s="2">
        <v>18045</v>
      </c>
      <c r="C1161" s="3">
        <f>+(NVDA_data[[#This Row],[Último]]/B1160)-1</f>
        <v>-8.625425777387119E-3</v>
      </c>
    </row>
    <row r="1162" spans="1:3" x14ac:dyDescent="0.25">
      <c r="A1162" s="1">
        <v>45887</v>
      </c>
      <c r="B1162" s="2">
        <v>18201</v>
      </c>
      <c r="C1162" s="3">
        <f>+(NVDA_data[[#This Row],[Último]]/B1161)-1</f>
        <v>8.6450540315876623E-3</v>
      </c>
    </row>
    <row r="1163" spans="1:3" x14ac:dyDescent="0.25">
      <c r="A1163" s="1">
        <v>45888</v>
      </c>
      <c r="B1163" s="2">
        <v>17564</v>
      </c>
      <c r="C1163" s="3">
        <f>+(NVDA_data[[#This Row],[Último]]/B1162)-1</f>
        <v>-3.4998077028734698E-2</v>
      </c>
    </row>
    <row r="1164" spans="1:3" x14ac:dyDescent="0.25">
      <c r="A1164" s="1">
        <v>45889</v>
      </c>
      <c r="B1164" s="2">
        <v>17540</v>
      </c>
      <c r="C1164" s="3">
        <f>+(NVDA_data[[#This Row],[Último]]/B1163)-1</f>
        <v>-1.3664313368253467E-3</v>
      </c>
    </row>
    <row r="1165" spans="1:3" x14ac:dyDescent="0.25">
      <c r="A1165" s="1">
        <v>45890</v>
      </c>
      <c r="B1165" s="2">
        <v>17498</v>
      </c>
      <c r="C1165" s="3">
        <f>+(NVDA_data[[#This Row],[Último]]/B1164)-1</f>
        <v>-2.3945267958951355E-3</v>
      </c>
    </row>
    <row r="1166" spans="1:3" x14ac:dyDescent="0.25">
      <c r="A1166" s="1">
        <v>45891</v>
      </c>
      <c r="B1166" s="2">
        <v>17799</v>
      </c>
      <c r="C1166" s="3">
        <f>+(NVDA_data[[#This Row],[Último]]/B1165)-1</f>
        <v>1.7201965938964392E-2</v>
      </c>
    </row>
    <row r="1167" spans="1:3" x14ac:dyDescent="0.25">
      <c r="A1167" s="1">
        <v>45894</v>
      </c>
      <c r="B1167" s="2">
        <v>17981</v>
      </c>
      <c r="C1167" s="3">
        <f>+(NVDA_data[[#This Row],[Último]]/B1166)-1</f>
        <v>1.0225293555817805E-2</v>
      </c>
    </row>
    <row r="1168" spans="1:3" x14ac:dyDescent="0.25">
      <c r="A1168" s="1">
        <v>45895</v>
      </c>
      <c r="B1168" s="2">
        <v>18177</v>
      </c>
      <c r="C1168" s="3">
        <f>+(NVDA_data[[#This Row],[Último]]/B1167)-1</f>
        <v>1.0900394861242502E-2</v>
      </c>
    </row>
    <row r="1169" spans="1:3" x14ac:dyDescent="0.25">
      <c r="A1169" s="1">
        <v>45896</v>
      </c>
      <c r="B1169" s="2">
        <v>18160</v>
      </c>
      <c r="C1169" s="3">
        <f>+(NVDA_data[[#This Row],[Último]]/B1168)-1</f>
        <v>-9.3524784067777755E-4</v>
      </c>
    </row>
    <row r="1170" spans="1:3" x14ac:dyDescent="0.25">
      <c r="A1170" s="1">
        <v>45897</v>
      </c>
      <c r="B1170" s="2">
        <v>18017</v>
      </c>
      <c r="C1170" s="3">
        <f>+(NVDA_data[[#This Row],[Último]]/B1169)-1</f>
        <v>-7.8744493392070014E-3</v>
      </c>
    </row>
    <row r="1171" spans="1:3" x14ac:dyDescent="0.25">
      <c r="A1171" s="1">
        <v>45898</v>
      </c>
      <c r="B1171" s="2">
        <v>17418</v>
      </c>
      <c r="C1171" s="3">
        <f>+(NVDA_data[[#This Row],[Último]]/B1170)-1</f>
        <v>-3.3246378420380807E-2</v>
      </c>
    </row>
    <row r="1172" spans="1:3" x14ac:dyDescent="0.25">
      <c r="A1172" s="1">
        <v>45902</v>
      </c>
      <c r="B1172" s="2">
        <v>17078</v>
      </c>
      <c r="C1172" s="3">
        <f>+(NVDA_data[[#This Row],[Último]]/B1171)-1</f>
        <v>-1.952003674359859E-2</v>
      </c>
    </row>
    <row r="1173" spans="1:3" x14ac:dyDescent="0.25">
      <c r="A1173" s="1">
        <v>45903</v>
      </c>
      <c r="B1173" s="2">
        <v>17062</v>
      </c>
      <c r="C1173" s="3">
        <f>+(NVDA_data[[#This Row],[Último]]/B1172)-1</f>
        <v>-9.3687785454976691E-4</v>
      </c>
    </row>
    <row r="1174" spans="1:3" x14ac:dyDescent="0.25">
      <c r="A1174" s="1">
        <v>45904</v>
      </c>
      <c r="B1174" s="2">
        <v>17166</v>
      </c>
      <c r="C1174" s="3">
        <f>+(NVDA_data[[#This Row],[Último]]/B1173)-1</f>
        <v>6.0954167155080619E-3</v>
      </c>
    </row>
    <row r="1175" spans="1:3" x14ac:dyDescent="0.25">
      <c r="A1175" s="1">
        <v>45905</v>
      </c>
      <c r="B1175" s="2">
        <v>16702</v>
      </c>
      <c r="C1175" s="3">
        <f>+(NVDA_data[[#This Row],[Último]]/B1174)-1</f>
        <v>-2.7030175929162348E-2</v>
      </c>
    </row>
    <row r="1176" spans="1:3" x14ac:dyDescent="0.25">
      <c r="A1176" s="1">
        <v>45908</v>
      </c>
      <c r="B1176" s="2">
        <v>16831</v>
      </c>
      <c r="C1176" s="3">
        <f>+(NVDA_data[[#This Row],[Último]]/B1175)-1</f>
        <v>7.7236259130644136E-3</v>
      </c>
    </row>
    <row r="1177" spans="1:3" x14ac:dyDescent="0.25">
      <c r="A1177" s="1">
        <v>45909</v>
      </c>
      <c r="B1177" s="2">
        <v>17076</v>
      </c>
      <c r="C1177" s="3">
        <f>+(NVDA_data[[#This Row],[Último]]/B1176)-1</f>
        <v>1.4556473174499374E-2</v>
      </c>
    </row>
    <row r="1178" spans="1:3" x14ac:dyDescent="0.25">
      <c r="A1178" s="1">
        <v>45910</v>
      </c>
      <c r="B1178" s="2">
        <v>17733</v>
      </c>
      <c r="C1178" s="3">
        <f>+(NVDA_data[[#This Row],[Último]]/B1177)-1</f>
        <v>3.8475052705551738E-2</v>
      </c>
    </row>
    <row r="1179" spans="1:3" x14ac:dyDescent="0.25">
      <c r="A1179" s="1">
        <v>45911</v>
      </c>
      <c r="B1179" s="2">
        <v>17717</v>
      </c>
      <c r="C1179" s="3">
        <f>+(NVDA_data[[#This Row],[Último]]/B1178)-1</f>
        <v>-9.0227259910902191E-4</v>
      </c>
    </row>
    <row r="1180" spans="1:3" x14ac:dyDescent="0.25">
      <c r="A1180" s="1">
        <v>45912</v>
      </c>
      <c r="B1180" s="2">
        <v>17782</v>
      </c>
      <c r="C1180" s="3">
        <f>+(NVDA_data[[#This Row],[Último]]/B1179)-1</f>
        <v>3.6687926849918728E-3</v>
      </c>
    </row>
    <row r="1181" spans="1:3" x14ac:dyDescent="0.25">
      <c r="A1181" s="1">
        <v>45915</v>
      </c>
      <c r="B1181" s="2">
        <v>17775</v>
      </c>
      <c r="C1181" s="3">
        <f>+(NVDA_data[[#This Row],[Último]]/B1180)-1</f>
        <v>-3.936565065797426E-4</v>
      </c>
    </row>
    <row r="1182" spans="1:3" x14ac:dyDescent="0.25">
      <c r="A1182" s="1">
        <v>45916</v>
      </c>
      <c r="B1182" s="2">
        <v>17488</v>
      </c>
      <c r="C1182" s="3">
        <f>+(NVDA_data[[#This Row],[Último]]/B1181)-1</f>
        <v>-1.6146272855133592E-2</v>
      </c>
    </row>
    <row r="1183" spans="1:3" x14ac:dyDescent="0.25">
      <c r="A1183" s="1">
        <v>45917</v>
      </c>
      <c r="B1183" s="2">
        <v>17029</v>
      </c>
      <c r="C1183" s="3">
        <f>+(NVDA_data[[#This Row],[Último]]/B1182)-1</f>
        <v>-2.6246569075937809E-2</v>
      </c>
    </row>
    <row r="1184" spans="1:3" x14ac:dyDescent="0.25">
      <c r="A1184" s="1">
        <v>45918</v>
      </c>
      <c r="B1184" s="2">
        <v>17624</v>
      </c>
      <c r="C1184" s="3">
        <f>+(NVDA_data[[#This Row],[Último]]/B1183)-1</f>
        <v>3.4940395795407753E-2</v>
      </c>
    </row>
    <row r="1185" spans="1:3" x14ac:dyDescent="0.25">
      <c r="A1185" s="1">
        <v>45919</v>
      </c>
      <c r="B1185" s="2">
        <v>17667</v>
      </c>
      <c r="C1185" s="3">
        <f>+(NVDA_data[[#This Row],[Último]]/B1184)-1</f>
        <v>2.4398547435315887E-3</v>
      </c>
    </row>
    <row r="1186" spans="1:3" x14ac:dyDescent="0.25">
      <c r="A1186" s="1">
        <v>45922</v>
      </c>
      <c r="B1186" s="2">
        <v>18361</v>
      </c>
      <c r="C1186" s="3">
        <f>+(NVDA_data[[#This Row],[Último]]/B1185)-1</f>
        <v>3.9282277692873624E-2</v>
      </c>
    </row>
    <row r="1187" spans="1:3" x14ac:dyDescent="0.25">
      <c r="A1187" s="1">
        <v>45923</v>
      </c>
      <c r="B1187" s="2">
        <v>17843</v>
      </c>
      <c r="C1187" s="3">
        <f>+(NVDA_data[[#This Row],[Último]]/B1186)-1</f>
        <v>-2.8211971025543292E-2</v>
      </c>
    </row>
    <row r="1188" spans="1:3" x14ac:dyDescent="0.25">
      <c r="A1188" s="1">
        <v>45924</v>
      </c>
      <c r="B1188" s="2">
        <v>17697</v>
      </c>
      <c r="C1188" s="3">
        <f>+(NVDA_data[[#This Row],[Último]]/B1187)-1</f>
        <v>-8.1824805245754861E-3</v>
      </c>
    </row>
    <row r="1189" spans="1:3" x14ac:dyDescent="0.25">
      <c r="A1189" s="1">
        <v>45925</v>
      </c>
      <c r="B1189" s="2">
        <v>17769</v>
      </c>
      <c r="C1189" s="3">
        <f>+(NVDA_data[[#This Row],[Último]]/B1188)-1</f>
        <v>4.0684861840989406E-3</v>
      </c>
    </row>
    <row r="1190" spans="1:3" x14ac:dyDescent="0.25">
      <c r="A1190" s="1">
        <v>45926</v>
      </c>
      <c r="B1190" s="2">
        <v>17819</v>
      </c>
      <c r="C1190" s="3">
        <f>+(NVDA_data[[#This Row],[Último]]/B1189)-1</f>
        <v>2.8138893578704138E-3</v>
      </c>
    </row>
    <row r="1191" spans="1:3" x14ac:dyDescent="0.25">
      <c r="A1191" s="1">
        <v>45929</v>
      </c>
      <c r="B1191" s="2">
        <v>18185</v>
      </c>
      <c r="C1191" s="3">
        <f>+(NVDA_data[[#This Row],[Último]]/B1190)-1</f>
        <v>2.0539873169089118E-2</v>
      </c>
    </row>
    <row r="1192" spans="1:3" x14ac:dyDescent="0.25">
      <c r="A1192" s="1">
        <v>45930</v>
      </c>
      <c r="B1192" s="2">
        <v>18658</v>
      </c>
      <c r="C1192" s="3">
        <f>+(NVDA_data[[#This Row],[Último]]/B1191)-1</f>
        <v>2.6010448171569944E-2</v>
      </c>
    </row>
    <row r="1193" spans="1:3" x14ac:dyDescent="0.25">
      <c r="A1193" s="1">
        <v>45931</v>
      </c>
      <c r="B1193" s="2">
        <v>18724</v>
      </c>
      <c r="C1193" s="3">
        <f>+(NVDA_data[[#This Row],[Último]]/B1192)-1</f>
        <v>3.5373566298637638E-3</v>
      </c>
    </row>
    <row r="1194" spans="1:3" x14ac:dyDescent="0.25">
      <c r="A1194" s="1">
        <v>45932</v>
      </c>
      <c r="B1194" s="2">
        <v>18889</v>
      </c>
      <c r="C1194" s="3">
        <f>+(NVDA_data[[#This Row],[Último]]/B1193)-1</f>
        <v>8.8122196111941609E-3</v>
      </c>
    </row>
    <row r="1195" spans="1:3" x14ac:dyDescent="0.25">
      <c r="A1195" s="1">
        <v>45933</v>
      </c>
      <c r="B1195" s="2">
        <v>18762</v>
      </c>
      <c r="C1195" s="3">
        <f>+(NVDA_data[[#This Row],[Último]]/B1194)-1</f>
        <v>-6.723489861824361E-3</v>
      </c>
    </row>
    <row r="1196" spans="1:3" x14ac:dyDescent="0.25">
      <c r="A1196" s="1">
        <v>45936</v>
      </c>
      <c r="B1196" s="2">
        <v>18554</v>
      </c>
      <c r="C1196" s="3">
        <f>+(NVDA_data[[#This Row],[Último]]/B1195)-1</f>
        <v>-1.1086238140923133E-2</v>
      </c>
    </row>
    <row r="1197" spans="1:3" x14ac:dyDescent="0.25">
      <c r="A1197" s="1">
        <v>45937</v>
      </c>
      <c r="B1197" s="2">
        <v>18504</v>
      </c>
      <c r="C1197" s="3">
        <f>+(NVDA_data[[#This Row],[Último]]/B1196)-1</f>
        <v>-2.6948366928963852E-3</v>
      </c>
    </row>
    <row r="1198" spans="1:3" x14ac:dyDescent="0.25">
      <c r="A1198" s="1">
        <v>45938</v>
      </c>
      <c r="B1198" s="2">
        <v>18911</v>
      </c>
      <c r="C1198" s="3">
        <f>+(NVDA_data[[#This Row],[Último]]/B1197)-1</f>
        <v>2.1995244271508785E-2</v>
      </c>
    </row>
    <row r="1199" spans="1:3" x14ac:dyDescent="0.25">
      <c r="A1199" s="1">
        <v>45939</v>
      </c>
      <c r="B1199" s="2">
        <v>19257</v>
      </c>
      <c r="C1199" s="3">
        <f>+(NVDA_data[[#This Row],[Último]]/B1198)-1</f>
        <v>1.8296229707577494E-2</v>
      </c>
    </row>
    <row r="1200" spans="1:3" x14ac:dyDescent="0.25">
      <c r="A1200" s="1">
        <v>45940</v>
      </c>
      <c r="B1200" s="2">
        <v>18316</v>
      </c>
      <c r="C1200" s="3">
        <f>+(NVDA_data[[#This Row],[Último]]/B1199)-1</f>
        <v>-4.8865347665783876E-2</v>
      </c>
    </row>
    <row r="1201" spans="1:3" x14ac:dyDescent="0.25">
      <c r="A1201" s="1">
        <v>45943</v>
      </c>
      <c r="B1201" s="2">
        <v>18832</v>
      </c>
      <c r="C1201" s="3">
        <f>+(NVDA_data[[#This Row],[Último]]/B1200)-1</f>
        <v>2.8172089975977199E-2</v>
      </c>
    </row>
    <row r="1202" spans="1:3" x14ac:dyDescent="0.25">
      <c r="A1202" s="1">
        <v>45944</v>
      </c>
      <c r="B1202" s="2">
        <v>18003</v>
      </c>
      <c r="C1202" s="3">
        <f>+(NVDA_data[[#This Row],[Último]]/B1201)-1</f>
        <v>-4.4020815632965116E-2</v>
      </c>
    </row>
    <row r="1203" spans="1:3" x14ac:dyDescent="0.25">
      <c r="A1203" s="1">
        <v>45945</v>
      </c>
      <c r="B1203" s="2">
        <v>17983</v>
      </c>
      <c r="C1203" s="3">
        <f>+(NVDA_data[[#This Row],[Último]]/B1202)-1</f>
        <v>-1.1109259567849694E-3</v>
      </c>
    </row>
    <row r="1204" spans="1:3" x14ac:dyDescent="0.25">
      <c r="A1204" s="1">
        <v>45946</v>
      </c>
      <c r="B1204" s="2">
        <v>18181</v>
      </c>
      <c r="C1204" s="3">
        <f>+(NVDA_data[[#This Row],[Último]]/B1203)-1</f>
        <v>1.1010398709892621E-2</v>
      </c>
    </row>
    <row r="1205" spans="1:3" x14ac:dyDescent="0.25">
      <c r="A1205" s="1">
        <v>45947</v>
      </c>
      <c r="B1205" s="2">
        <v>18322</v>
      </c>
      <c r="C1205" s="3">
        <f>+(NVDA_data[[#This Row],[Último]]/B1204)-1</f>
        <v>7.7553489907045137E-3</v>
      </c>
    </row>
    <row r="1206" spans="1:3" x14ac:dyDescent="0.25">
      <c r="A1206" s="1">
        <v>45950</v>
      </c>
      <c r="B1206" s="2">
        <v>18264</v>
      </c>
      <c r="C1206" s="3">
        <f>+(NVDA_data[[#This Row],[Último]]/B1205)-1</f>
        <v>-3.1655932758432037E-3</v>
      </c>
    </row>
    <row r="1207" spans="1:3" x14ac:dyDescent="0.25">
      <c r="A1207" s="1">
        <v>45951</v>
      </c>
      <c r="B1207" s="2">
        <v>18116</v>
      </c>
      <c r="C1207" s="3">
        <f>+(NVDA_data[[#This Row],[Último]]/B1206)-1</f>
        <v>-8.1033727551467205E-3</v>
      </c>
    </row>
    <row r="1208" spans="1:3" x14ac:dyDescent="0.25">
      <c r="A1208" s="1">
        <v>45952</v>
      </c>
      <c r="B1208" s="2">
        <v>18028</v>
      </c>
      <c r="C1208" s="3">
        <f>+(NVDA_data[[#This Row],[Último]]/B1207)-1</f>
        <v>-4.8575844557297021E-3</v>
      </c>
    </row>
    <row r="1209" spans="1:3" x14ac:dyDescent="0.25">
      <c r="A1209" s="1">
        <v>45953</v>
      </c>
      <c r="B1209" s="2">
        <v>18216</v>
      </c>
      <c r="C1209" s="3">
        <f>+(NVDA_data[[#This Row],[Último]]/B1208)-1</f>
        <v>1.0428222764588435E-2</v>
      </c>
    </row>
    <row r="1210" spans="1:3" x14ac:dyDescent="0.25">
      <c r="A1210" s="1">
        <v>45954</v>
      </c>
      <c r="B1210" s="2">
        <v>18626</v>
      </c>
      <c r="C1210" s="3">
        <f>+(NVDA_data[[#This Row],[Último]]/B1209)-1</f>
        <v>2.2507685551163892E-2</v>
      </c>
    </row>
    <row r="1211" spans="1:3" x14ac:dyDescent="0.25">
      <c r="A1211" s="1">
        <v>45957</v>
      </c>
      <c r="B1211" s="2">
        <v>19149</v>
      </c>
      <c r="C1211" s="3">
        <f>+(NVDA_data[[#This Row],[Último]]/B1210)-1</f>
        <v>2.8079029313862414E-2</v>
      </c>
    </row>
    <row r="1212" spans="1:3" x14ac:dyDescent="0.25">
      <c r="A1212" s="1">
        <v>45958</v>
      </c>
      <c r="B1212" s="2">
        <v>20103</v>
      </c>
      <c r="C1212" s="3">
        <f>+(NVDA_data[[#This Row],[Último]]/B1211)-1</f>
        <v>4.9819833933886892E-2</v>
      </c>
    </row>
    <row r="1213" spans="1:3" x14ac:dyDescent="0.25">
      <c r="A1213" s="1">
        <v>45959</v>
      </c>
      <c r="B1213" s="2">
        <v>20704</v>
      </c>
      <c r="C1213" s="3">
        <f>+(NVDA_data[[#This Row],[Último]]/B1212)-1</f>
        <v>2.9896035417599442E-2</v>
      </c>
    </row>
    <row r="1214" spans="1:3" x14ac:dyDescent="0.25">
      <c r="A1214" s="1">
        <v>45960</v>
      </c>
      <c r="B1214" s="2">
        <v>20289</v>
      </c>
      <c r="C1214" s="3">
        <f>+(NVDA_data[[#This Row],[Último]]/B1213)-1</f>
        <v>-2.0044435857805243E-2</v>
      </c>
    </row>
    <row r="1215" spans="1:3" x14ac:dyDescent="0.25">
      <c r="A1215" s="1">
        <v>45961</v>
      </c>
      <c r="B1215" s="2">
        <v>20249</v>
      </c>
      <c r="C1215" s="3">
        <f>+(NVDA_data[[#This Row],[Último]]/B1214)-1</f>
        <v>-1.971511656562619E-3</v>
      </c>
    </row>
    <row r="1216" spans="1:3" x14ac:dyDescent="0.25">
      <c r="A1216" s="1">
        <v>45964</v>
      </c>
      <c r="B1216" s="2">
        <v>20688</v>
      </c>
      <c r="C1216" s="3">
        <f>+(NVDA_data[[#This Row],[Último]]/B1215)-1</f>
        <v>2.1680082967060033E-2</v>
      </c>
    </row>
    <row r="1217" spans="1:3" x14ac:dyDescent="0.25">
      <c r="A1217" s="1">
        <v>45965</v>
      </c>
      <c r="B1217" s="2">
        <v>19869</v>
      </c>
      <c r="C1217" s="3">
        <f>+(NVDA_data[[#This Row],[Último]]/B1216)-1</f>
        <v>-3.958816705336432E-2</v>
      </c>
    </row>
    <row r="1218" spans="1:3" x14ac:dyDescent="0.25">
      <c r="A1218" s="1">
        <v>45966</v>
      </c>
      <c r="B1218" s="2">
        <v>19521</v>
      </c>
      <c r="C1218" s="3">
        <f>+(NVDA_data[[#This Row],[Último]]/B1217)-1</f>
        <v>-1.7514721425335944E-2</v>
      </c>
    </row>
    <row r="1219" spans="1:3" x14ac:dyDescent="0.25">
      <c r="A1219" s="1">
        <v>45967</v>
      </c>
      <c r="B1219" s="2">
        <v>18808</v>
      </c>
      <c r="C1219" s="3">
        <f>+(NVDA_data[[#This Row],[Último]]/B1218)-1</f>
        <v>-3.6524768198350488E-2</v>
      </c>
    </row>
    <row r="1220" spans="1:3" x14ac:dyDescent="0.25">
      <c r="A1220" s="1">
        <v>45968</v>
      </c>
      <c r="B1220" s="2">
        <v>18815</v>
      </c>
      <c r="C1220" s="3">
        <f>+(NVDA_data[[#This Row],[Último]]/B1219)-1</f>
        <v>3.7218205019140527E-4</v>
      </c>
    </row>
    <row r="1221" spans="1:3" x14ac:dyDescent="0.25">
      <c r="A1221" s="1">
        <v>45971</v>
      </c>
      <c r="B1221" s="2">
        <v>19905</v>
      </c>
      <c r="C1221" s="3">
        <f>+(NVDA_data[[#This Row],[Último]]/B1220)-1</f>
        <v>5.7932500664363618E-2</v>
      </c>
    </row>
    <row r="1222" spans="1:3" x14ac:dyDescent="0.25">
      <c r="A1222" s="1">
        <v>45972</v>
      </c>
      <c r="B1222" s="2">
        <v>19316</v>
      </c>
      <c r="C1222" s="3">
        <f>+(NVDA_data[[#This Row],[Último]]/B1221)-1</f>
        <v>-2.9590555136900232E-2</v>
      </c>
    </row>
    <row r="1223" spans="1:3" x14ac:dyDescent="0.25">
      <c r="A1223" s="1">
        <v>45973</v>
      </c>
      <c r="B1223" s="2">
        <v>19380</v>
      </c>
      <c r="C1223" s="3">
        <f>+(NVDA_data[[#This Row],[Último]]/B1222)-1</f>
        <v>3.313315386208382E-3</v>
      </c>
    </row>
    <row r="1224" spans="1:3" x14ac:dyDescent="0.25">
      <c r="A1224" s="1">
        <v>45974</v>
      </c>
      <c r="B1224" s="2">
        <v>18686</v>
      </c>
      <c r="C1224" s="3">
        <f>+(NVDA_data[[#This Row],[Último]]/B1223)-1</f>
        <v>-3.5810113519091802E-2</v>
      </c>
    </row>
    <row r="1225" spans="1:3" x14ac:dyDescent="0.25">
      <c r="A1225" s="1">
        <v>45975</v>
      </c>
      <c r="B1225" s="2">
        <v>19017</v>
      </c>
      <c r="C1225" s="3">
        <f>+(NVDA_data[[#This Row],[Último]]/B1224)-1</f>
        <v>1.7713796425131045E-2</v>
      </c>
    </row>
    <row r="1226" spans="1:3" x14ac:dyDescent="0.25">
      <c r="A1226" s="1">
        <v>45978</v>
      </c>
      <c r="B1226" s="2">
        <v>18660</v>
      </c>
      <c r="C1226" s="3">
        <f>+(NVDA_data[[#This Row],[Último]]/B1225)-1</f>
        <v>-1.8772677078403577E-2</v>
      </c>
    </row>
    <row r="1227" spans="1:3" x14ac:dyDescent="0.25">
      <c r="A1227" s="1">
        <v>45979</v>
      </c>
      <c r="B1227" s="2">
        <v>18136</v>
      </c>
      <c r="C1227" s="3">
        <f>+(NVDA_data[[#This Row],[Último]]/B1226)-1</f>
        <v>-2.808145766345127E-2</v>
      </c>
    </row>
    <row r="1228" spans="1:3" x14ac:dyDescent="0.25">
      <c r="A1228" s="1">
        <v>45980</v>
      </c>
      <c r="B1228" s="2">
        <v>18652</v>
      </c>
      <c r="C1228" s="3">
        <f>+(NVDA_data[[#This Row],[Último]]/B1227)-1</f>
        <v>2.8451698279664761E-2</v>
      </c>
    </row>
    <row r="1229" spans="1:3" x14ac:dyDescent="0.25">
      <c r="A1229" s="1">
        <v>45981</v>
      </c>
      <c r="B1229" s="2">
        <v>18064</v>
      </c>
      <c r="C1229" s="3">
        <f>+(NVDA_data[[#This Row],[Último]]/B1228)-1</f>
        <v>-3.1524769461719893E-2</v>
      </c>
    </row>
    <row r="1230" spans="1:3" x14ac:dyDescent="0.25">
      <c r="A1230" s="1">
        <v>45982</v>
      </c>
      <c r="B1230" s="2">
        <v>17888</v>
      </c>
      <c r="C1230" s="3">
        <f>+(NVDA_data[[#This Row],[Último]]/B1229)-1</f>
        <v>-9.7431355181576418E-3</v>
      </c>
    </row>
    <row r="1231" spans="1:3" x14ac:dyDescent="0.25">
      <c r="A1231" s="1">
        <v>45985</v>
      </c>
      <c r="B1231" s="2">
        <v>18255</v>
      </c>
      <c r="C1231" s="3">
        <f>+(NVDA_data[[#This Row],[Último]]/B1230)-1</f>
        <v>2.0516547406082219E-2</v>
      </c>
    </row>
    <row r="1232" spans="1:3" x14ac:dyDescent="0.25">
      <c r="A1232" s="1">
        <v>45986</v>
      </c>
      <c r="B1232" s="2">
        <v>17782</v>
      </c>
      <c r="C1232" s="3">
        <f>+(NVDA_data[[#This Row],[Último]]/B1231)-1</f>
        <v>-2.5910709394686426E-2</v>
      </c>
    </row>
    <row r="1233" spans="1:3" x14ac:dyDescent="0.25">
      <c r="A1233" s="1">
        <v>45987</v>
      </c>
      <c r="B1233" s="2">
        <v>18026</v>
      </c>
      <c r="C1233" s="3">
        <f>+(NVDA_data[[#This Row],[Último]]/B1232)-1</f>
        <v>1.3721741086492045E-2</v>
      </c>
    </row>
    <row r="1234" spans="1:3" x14ac:dyDescent="0.25">
      <c r="A1234" s="1">
        <v>45989</v>
      </c>
      <c r="B1234" s="2">
        <v>17700</v>
      </c>
      <c r="C1234" s="3">
        <f>+(NVDA_data[[#This Row],[Último]]/B1233)-1</f>
        <v>-1.8084988350160924E-2</v>
      </c>
    </row>
    <row r="1235" spans="1:3" x14ac:dyDescent="0.25">
      <c r="A1235" s="1">
        <v>45992</v>
      </c>
      <c r="B1235" s="2">
        <v>17992</v>
      </c>
      <c r="C1235" s="3">
        <f>+(NVDA_data[[#This Row],[Último]]/B1234)-1</f>
        <v>1.6497175141243048E-2</v>
      </c>
    </row>
    <row r="1236" spans="1:3" x14ac:dyDescent="0.25">
      <c r="A1236" s="1">
        <v>45993</v>
      </c>
      <c r="B1236" s="2">
        <v>18146</v>
      </c>
      <c r="C1236" s="3">
        <f>+(NVDA_data[[#This Row],[Último]]/B1235)-1</f>
        <v>8.5593597154289824E-3</v>
      </c>
    </row>
    <row r="1237" spans="1:3" x14ac:dyDescent="0.25">
      <c r="A1237" s="1">
        <v>45994</v>
      </c>
      <c r="B1237" s="2">
        <v>17959</v>
      </c>
      <c r="C1237" s="3">
        <f>+(NVDA_data[[#This Row],[Último]]/B1236)-1</f>
        <v>-1.0305301443844339E-2</v>
      </c>
    </row>
    <row r="1238" spans="1:3" x14ac:dyDescent="0.25">
      <c r="A1238" s="1">
        <v>45995</v>
      </c>
      <c r="B1238" s="2">
        <v>18338</v>
      </c>
      <c r="C1238" s="3">
        <f>+(NVDA_data[[#This Row],[Último]]/B1237)-1</f>
        <v>2.1103624923436648E-2</v>
      </c>
    </row>
    <row r="1239" spans="1:3" x14ac:dyDescent="0.25">
      <c r="A1239" s="1">
        <v>45996</v>
      </c>
      <c r="B1239" s="2">
        <v>18241</v>
      </c>
      <c r="C1239" s="3">
        <f>+(NVDA_data[[#This Row],[Último]]/B1238)-1</f>
        <v>-5.2895626567782683E-3</v>
      </c>
    </row>
    <row r="1240" spans="1:3" x14ac:dyDescent="0.25">
      <c r="A1240" s="1">
        <v>45999</v>
      </c>
      <c r="B1240" s="2">
        <v>18555</v>
      </c>
      <c r="C1240" s="3">
        <f>+(NVDA_data[[#This Row],[Último]]/B1239)-1</f>
        <v>1.7213968532426849E-2</v>
      </c>
    </row>
    <row r="1241" spans="1:3" x14ac:dyDescent="0.25">
      <c r="A1241" s="1">
        <v>46000</v>
      </c>
      <c r="B1241" s="2">
        <v>18497</v>
      </c>
      <c r="C1241" s="3">
        <f>+(NVDA_data[[#This Row],[Último]]/B1240)-1</f>
        <v>-3.1258420910805773E-3</v>
      </c>
    </row>
    <row r="1242" spans="1:3" x14ac:dyDescent="0.25">
      <c r="A1242" s="1">
        <v>46001</v>
      </c>
      <c r="B1242" s="2">
        <v>18378</v>
      </c>
      <c r="C1242" s="3">
        <f>+(NVDA_data[[#This Row],[Último]]/B1241)-1</f>
        <v>-6.433475698761959E-3</v>
      </c>
    </row>
    <row r="1243" spans="1:3" x14ac:dyDescent="0.25">
      <c r="A1243" s="1">
        <v>46002</v>
      </c>
      <c r="B1243" s="2">
        <v>18093</v>
      </c>
      <c r="C1243" s="3">
        <f>+(NVDA_data[[#This Row],[Último]]/B1242)-1</f>
        <v>-1.5507672216780954E-2</v>
      </c>
    </row>
    <row r="1244" spans="1:3" x14ac:dyDescent="0.25">
      <c r="A1244" s="1">
        <v>46003</v>
      </c>
      <c r="B1244" s="2">
        <v>17502</v>
      </c>
      <c r="C1244" s="3">
        <f>+(NVDA_data[[#This Row],[Último]]/B1243)-1</f>
        <v>-3.2664566406897744E-2</v>
      </c>
    </row>
    <row r="1245" spans="1:3" x14ac:dyDescent="0.25">
      <c r="A1245" s="1">
        <v>46006</v>
      </c>
      <c r="B1245" s="2">
        <v>17629</v>
      </c>
      <c r="C1245" s="3">
        <f>+(NVDA_data[[#This Row],[Último]]/B1244)-1</f>
        <v>7.2563135641641185E-3</v>
      </c>
    </row>
    <row r="1246" spans="1:3" x14ac:dyDescent="0.25">
      <c r="A1246" s="1">
        <v>46007</v>
      </c>
      <c r="B1246" s="2">
        <v>17772</v>
      </c>
      <c r="C1246" s="3">
        <f>+(NVDA_data[[#This Row],[Último]]/B1245)-1</f>
        <v>8.1116342390379348E-3</v>
      </c>
    </row>
    <row r="1247" spans="1:3" x14ac:dyDescent="0.25">
      <c r="A1247" s="1">
        <v>46008</v>
      </c>
      <c r="B1247" s="2">
        <v>17094</v>
      </c>
      <c r="C1247" s="3">
        <f>+(NVDA_data[[#This Row],[Último]]/B1246)-1</f>
        <v>-3.8149898717083075E-2</v>
      </c>
    </row>
    <row r="1248" spans="1:3" x14ac:dyDescent="0.25">
      <c r="A1248" s="1">
        <v>46009</v>
      </c>
      <c r="B1248" s="2">
        <v>17401</v>
      </c>
      <c r="C1248" s="3">
        <f>+(NVDA_data[[#This Row],[Último]]/B1247)-1</f>
        <v>1.7959517959518001E-2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1B49-15A2-4171-A4E5-6C8BC20BA193}">
  <sheetPr>
    <tabColor rgb="FFC00000"/>
  </sheetPr>
  <dimension ref="A1:C1253"/>
  <sheetViews>
    <sheetView topLeftCell="A1233" workbookViewId="0">
      <selection activeCell="C1" sqref="C1:C1253"/>
    </sheetView>
  </sheetViews>
  <sheetFormatPr baseColWidth="10" defaultRowHeight="15" x14ac:dyDescent="0.25"/>
  <cols>
    <col min="1" max="1" width="10.42578125" bestFit="1" customWidth="1"/>
    <col min="2" max="2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44200</v>
      </c>
      <c r="B2" s="2">
        <v>33903</v>
      </c>
    </row>
    <row r="3" spans="1:3" x14ac:dyDescent="0.25">
      <c r="A3" s="1">
        <v>44201</v>
      </c>
      <c r="B3" s="2">
        <v>34126</v>
      </c>
      <c r="C3" s="3">
        <f>(VOO_data[[#This Row],[Último]]/B2)-1</f>
        <v>6.5775890039230234E-3</v>
      </c>
    </row>
    <row r="4" spans="1:3" x14ac:dyDescent="0.25">
      <c r="A4" s="1">
        <v>44202</v>
      </c>
      <c r="B4" s="2">
        <v>34333</v>
      </c>
      <c r="C4" s="3">
        <f>(VOO_data[[#This Row],[Último]]/B3)-1</f>
        <v>6.0657563148331928E-3</v>
      </c>
    </row>
    <row r="5" spans="1:3" x14ac:dyDescent="0.25">
      <c r="A5" s="1">
        <v>44203</v>
      </c>
      <c r="B5" s="2">
        <v>34846</v>
      </c>
      <c r="C5" s="3">
        <f>(VOO_data[[#This Row],[Último]]/B4)-1</f>
        <v>1.4941892639734444E-2</v>
      </c>
    </row>
    <row r="6" spans="1:3" x14ac:dyDescent="0.25">
      <c r="A6" s="1">
        <v>44204</v>
      </c>
      <c r="B6" s="2">
        <v>35042</v>
      </c>
      <c r="C6" s="3">
        <f>(VOO_data[[#This Row],[Último]]/B5)-1</f>
        <v>5.6247488951386426E-3</v>
      </c>
    </row>
    <row r="7" spans="1:3" x14ac:dyDescent="0.25">
      <c r="A7" s="1">
        <v>44207</v>
      </c>
      <c r="B7" s="2">
        <v>34813</v>
      </c>
      <c r="C7" s="3">
        <f>(VOO_data[[#This Row],[Último]]/B6)-1</f>
        <v>-6.5350151247074439E-3</v>
      </c>
    </row>
    <row r="8" spans="1:3" x14ac:dyDescent="0.25">
      <c r="A8" s="1">
        <v>44208</v>
      </c>
      <c r="B8" s="2">
        <v>34816</v>
      </c>
      <c r="C8" s="3">
        <f>(VOO_data[[#This Row],[Último]]/B7)-1</f>
        <v>8.6174704851726958E-5</v>
      </c>
    </row>
    <row r="9" spans="1:3" x14ac:dyDescent="0.25">
      <c r="A9" s="1">
        <v>44209</v>
      </c>
      <c r="B9" s="2">
        <v>34903</v>
      </c>
      <c r="C9" s="3">
        <f>(VOO_data[[#This Row],[Último]]/B8)-1</f>
        <v>2.4988511029411242E-3</v>
      </c>
    </row>
    <row r="10" spans="1:3" x14ac:dyDescent="0.25">
      <c r="A10" s="1">
        <v>44210</v>
      </c>
      <c r="B10" s="2">
        <v>34785</v>
      </c>
      <c r="C10" s="3">
        <f>(VOO_data[[#This Row],[Último]]/B9)-1</f>
        <v>-3.3807982121880631E-3</v>
      </c>
    </row>
    <row r="11" spans="1:3" x14ac:dyDescent="0.25">
      <c r="A11" s="1">
        <v>44211</v>
      </c>
      <c r="B11" s="2">
        <v>34537</v>
      </c>
      <c r="C11" s="3">
        <f>(VOO_data[[#This Row],[Último]]/B10)-1</f>
        <v>-7.1295098461980899E-3</v>
      </c>
    </row>
    <row r="12" spans="1:3" x14ac:dyDescent="0.25">
      <c r="A12" s="1">
        <v>44215</v>
      </c>
      <c r="B12" s="2">
        <v>34810</v>
      </c>
      <c r="C12" s="3">
        <f>(VOO_data[[#This Row],[Último]]/B11)-1</f>
        <v>7.9045661174972359E-3</v>
      </c>
    </row>
    <row r="13" spans="1:3" x14ac:dyDescent="0.25">
      <c r="A13" s="1">
        <v>44216</v>
      </c>
      <c r="B13" s="2">
        <v>35283</v>
      </c>
      <c r="C13" s="3">
        <f>(VOO_data[[#This Row],[Último]]/B12)-1</f>
        <v>1.358804941108871E-2</v>
      </c>
    </row>
    <row r="14" spans="1:3" x14ac:dyDescent="0.25">
      <c r="A14" s="1">
        <v>44217</v>
      </c>
      <c r="B14" s="2">
        <v>35316</v>
      </c>
      <c r="C14" s="3">
        <f>(VOO_data[[#This Row],[Último]]/B13)-1</f>
        <v>9.3529461780450518E-4</v>
      </c>
    </row>
    <row r="15" spans="1:3" x14ac:dyDescent="0.25">
      <c r="A15" s="1">
        <v>44218</v>
      </c>
      <c r="B15" s="2">
        <v>35190</v>
      </c>
      <c r="C15" s="3">
        <f>(VOO_data[[#This Row],[Último]]/B14)-1</f>
        <v>-3.5677879714577365E-3</v>
      </c>
    </row>
    <row r="16" spans="1:3" x14ac:dyDescent="0.25">
      <c r="A16" s="1">
        <v>44221</v>
      </c>
      <c r="B16" s="2">
        <v>35333</v>
      </c>
      <c r="C16" s="3">
        <f>(VOO_data[[#This Row],[Último]]/B15)-1</f>
        <v>4.0636544472860692E-3</v>
      </c>
    </row>
    <row r="17" spans="1:3" x14ac:dyDescent="0.25">
      <c r="A17" s="1">
        <v>44222</v>
      </c>
      <c r="B17" s="2">
        <v>35280</v>
      </c>
      <c r="C17" s="3">
        <f>(VOO_data[[#This Row],[Último]]/B16)-1</f>
        <v>-1.5000141510769227E-3</v>
      </c>
    </row>
    <row r="18" spans="1:3" x14ac:dyDescent="0.25">
      <c r="A18" s="1">
        <v>44223</v>
      </c>
      <c r="B18" s="2">
        <v>34424</v>
      </c>
      <c r="C18" s="3">
        <f>(VOO_data[[#This Row],[Último]]/B17)-1</f>
        <v>-2.426303854875278E-2</v>
      </c>
    </row>
    <row r="19" spans="1:3" x14ac:dyDescent="0.25">
      <c r="A19" s="1">
        <v>44224</v>
      </c>
      <c r="B19" s="2">
        <v>34713</v>
      </c>
      <c r="C19" s="3">
        <f>(VOO_data[[#This Row],[Último]]/B18)-1</f>
        <v>8.3953056007437521E-3</v>
      </c>
    </row>
    <row r="20" spans="1:3" x14ac:dyDescent="0.25">
      <c r="A20" s="1">
        <v>44225</v>
      </c>
      <c r="B20" s="2">
        <v>34018</v>
      </c>
      <c r="C20" s="3">
        <f>(VOO_data[[#This Row],[Último]]/B19)-1</f>
        <v>-2.0021317661971016E-2</v>
      </c>
    </row>
    <row r="21" spans="1:3" x14ac:dyDescent="0.25">
      <c r="A21" s="1">
        <v>44228</v>
      </c>
      <c r="B21" s="2">
        <v>34577</v>
      </c>
      <c r="C21" s="3">
        <f>(VOO_data[[#This Row],[Último]]/B20)-1</f>
        <v>1.6432476923981421E-2</v>
      </c>
    </row>
    <row r="22" spans="1:3" x14ac:dyDescent="0.25">
      <c r="A22" s="1">
        <v>44229</v>
      </c>
      <c r="B22" s="2">
        <v>35074</v>
      </c>
      <c r="C22" s="3">
        <f>(VOO_data[[#This Row],[Último]]/B21)-1</f>
        <v>1.4373716632443578E-2</v>
      </c>
    </row>
    <row r="23" spans="1:3" x14ac:dyDescent="0.25">
      <c r="A23" s="1">
        <v>44230</v>
      </c>
      <c r="B23" s="2">
        <v>35109</v>
      </c>
      <c r="C23" s="3">
        <f>(VOO_data[[#This Row],[Último]]/B22)-1</f>
        <v>9.97890175058469E-4</v>
      </c>
    </row>
    <row r="24" spans="1:3" x14ac:dyDescent="0.25">
      <c r="A24" s="1">
        <v>44231</v>
      </c>
      <c r="B24" s="2">
        <v>35502</v>
      </c>
      <c r="C24" s="3">
        <f>(VOO_data[[#This Row],[Último]]/B23)-1</f>
        <v>1.1193711014269914E-2</v>
      </c>
    </row>
    <row r="25" spans="1:3" x14ac:dyDescent="0.25">
      <c r="A25" s="1">
        <v>44232</v>
      </c>
      <c r="B25" s="2">
        <v>35644</v>
      </c>
      <c r="C25" s="3">
        <f>(VOO_data[[#This Row],[Último]]/B24)-1</f>
        <v>3.9997746605824336E-3</v>
      </c>
    </row>
    <row r="26" spans="1:3" x14ac:dyDescent="0.25">
      <c r="A26" s="1">
        <v>44235</v>
      </c>
      <c r="B26" s="2">
        <v>35907</v>
      </c>
      <c r="C26" s="3">
        <f>(VOO_data[[#This Row],[Último]]/B25)-1</f>
        <v>7.378520929188559E-3</v>
      </c>
    </row>
    <row r="27" spans="1:3" x14ac:dyDescent="0.25">
      <c r="A27" s="1">
        <v>44236</v>
      </c>
      <c r="B27" s="2">
        <v>35878</v>
      </c>
      <c r="C27" s="3">
        <f>(VOO_data[[#This Row],[Último]]/B26)-1</f>
        <v>-8.0764196396243548E-4</v>
      </c>
    </row>
    <row r="28" spans="1:3" x14ac:dyDescent="0.25">
      <c r="A28" s="1">
        <v>44237</v>
      </c>
      <c r="B28" s="2">
        <v>35864</v>
      </c>
      <c r="C28" s="3">
        <f>(VOO_data[[#This Row],[Último]]/B27)-1</f>
        <v>-3.9021127153127111E-4</v>
      </c>
    </row>
    <row r="29" spans="1:3" x14ac:dyDescent="0.25">
      <c r="A29" s="1">
        <v>44238</v>
      </c>
      <c r="B29" s="2">
        <v>35922</v>
      </c>
      <c r="C29" s="3">
        <f>(VOO_data[[#This Row],[Último]]/B28)-1</f>
        <v>1.6172206111979559E-3</v>
      </c>
    </row>
    <row r="30" spans="1:3" x14ac:dyDescent="0.25">
      <c r="A30" s="1">
        <v>44239</v>
      </c>
      <c r="B30" s="2">
        <v>36105</v>
      </c>
      <c r="C30" s="3">
        <f>(VOO_data[[#This Row],[Último]]/B29)-1</f>
        <v>5.0943711374644707E-3</v>
      </c>
    </row>
    <row r="31" spans="1:3" x14ac:dyDescent="0.25">
      <c r="A31" s="1">
        <v>44243</v>
      </c>
      <c r="B31" s="2">
        <v>36071</v>
      </c>
      <c r="C31" s="3">
        <f>(VOO_data[[#This Row],[Último]]/B30)-1</f>
        <v>-9.4169782578590322E-4</v>
      </c>
    </row>
    <row r="32" spans="1:3" x14ac:dyDescent="0.25">
      <c r="A32" s="1">
        <v>44244</v>
      </c>
      <c r="B32" s="2">
        <v>36079</v>
      </c>
      <c r="C32" s="3">
        <f>(VOO_data[[#This Row],[Último]]/B31)-1</f>
        <v>2.2178481328483102E-4</v>
      </c>
    </row>
    <row r="33" spans="1:3" x14ac:dyDescent="0.25">
      <c r="A33" s="1">
        <v>44245</v>
      </c>
      <c r="B33" s="2">
        <v>35925</v>
      </c>
      <c r="C33" s="3">
        <f>(VOO_data[[#This Row],[Último]]/B32)-1</f>
        <v>-4.2684109870007036E-3</v>
      </c>
    </row>
    <row r="34" spans="1:3" x14ac:dyDescent="0.25">
      <c r="A34" s="1">
        <v>44246</v>
      </c>
      <c r="B34" s="2">
        <v>35859</v>
      </c>
      <c r="C34" s="3">
        <f>(VOO_data[[#This Row],[Último]]/B33)-1</f>
        <v>-1.8371607515658139E-3</v>
      </c>
    </row>
    <row r="35" spans="1:3" x14ac:dyDescent="0.25">
      <c r="A35" s="1">
        <v>44249</v>
      </c>
      <c r="B35" s="2">
        <v>35577</v>
      </c>
      <c r="C35" s="3">
        <f>(VOO_data[[#This Row],[Último]]/B34)-1</f>
        <v>-7.8641345268970486E-3</v>
      </c>
    </row>
    <row r="36" spans="1:3" x14ac:dyDescent="0.25">
      <c r="A36" s="1">
        <v>44250</v>
      </c>
      <c r="B36" s="2">
        <v>35622</v>
      </c>
      <c r="C36" s="3">
        <f>(VOO_data[[#This Row],[Último]]/B35)-1</f>
        <v>1.2648621300277441E-3</v>
      </c>
    </row>
    <row r="37" spans="1:3" x14ac:dyDescent="0.25">
      <c r="A37" s="1">
        <v>44251</v>
      </c>
      <c r="B37" s="2">
        <v>36016</v>
      </c>
      <c r="C37" s="3">
        <f>(VOO_data[[#This Row],[Último]]/B36)-1</f>
        <v>1.1060580540115605E-2</v>
      </c>
    </row>
    <row r="38" spans="1:3" x14ac:dyDescent="0.25">
      <c r="A38" s="1">
        <v>44252</v>
      </c>
      <c r="B38" s="2">
        <v>35152</v>
      </c>
      <c r="C38" s="3">
        <f>(VOO_data[[#This Row],[Último]]/B37)-1</f>
        <v>-2.3989338071968014E-2</v>
      </c>
    </row>
    <row r="39" spans="1:3" x14ac:dyDescent="0.25">
      <c r="A39" s="1">
        <v>44253</v>
      </c>
      <c r="B39" s="2">
        <v>34959</v>
      </c>
      <c r="C39" s="3">
        <f>(VOO_data[[#This Row],[Último]]/B38)-1</f>
        <v>-5.4904415111515226E-3</v>
      </c>
    </row>
    <row r="40" spans="1:3" x14ac:dyDescent="0.25">
      <c r="A40" s="1">
        <v>44256</v>
      </c>
      <c r="B40" s="2">
        <v>35812</v>
      </c>
      <c r="C40" s="3">
        <f>(VOO_data[[#This Row],[Último]]/B39)-1</f>
        <v>2.44000114419749E-2</v>
      </c>
    </row>
    <row r="41" spans="1:3" x14ac:dyDescent="0.25">
      <c r="A41" s="1">
        <v>44257</v>
      </c>
      <c r="B41" s="2">
        <v>35535</v>
      </c>
      <c r="C41" s="3">
        <f>(VOO_data[[#This Row],[Último]]/B40)-1</f>
        <v>-7.7348374846419876E-3</v>
      </c>
    </row>
    <row r="42" spans="1:3" x14ac:dyDescent="0.25">
      <c r="A42" s="1">
        <v>44258</v>
      </c>
      <c r="B42" s="2">
        <v>35066</v>
      </c>
      <c r="C42" s="3">
        <f>(VOO_data[[#This Row],[Último]]/B41)-1</f>
        <v>-1.3198255241311352E-2</v>
      </c>
    </row>
    <row r="43" spans="1:3" x14ac:dyDescent="0.25">
      <c r="A43" s="1">
        <v>44259</v>
      </c>
      <c r="B43" s="2">
        <v>34634</v>
      </c>
      <c r="C43" s="3">
        <f>(VOO_data[[#This Row],[Último]]/B42)-1</f>
        <v>-1.2319625848400184E-2</v>
      </c>
    </row>
    <row r="44" spans="1:3" x14ac:dyDescent="0.25">
      <c r="A44" s="1">
        <v>44260</v>
      </c>
      <c r="B44" s="2">
        <v>35269</v>
      </c>
      <c r="C44" s="3">
        <f>(VOO_data[[#This Row],[Último]]/B43)-1</f>
        <v>1.8334584512328833E-2</v>
      </c>
    </row>
    <row r="45" spans="1:3" x14ac:dyDescent="0.25">
      <c r="A45" s="1">
        <v>44263</v>
      </c>
      <c r="B45" s="2">
        <v>35096</v>
      </c>
      <c r="C45" s="3">
        <f>(VOO_data[[#This Row],[Último]]/B44)-1</f>
        <v>-4.9051575037568629E-3</v>
      </c>
    </row>
    <row r="46" spans="1:3" x14ac:dyDescent="0.25">
      <c r="A46" s="1">
        <v>44264</v>
      </c>
      <c r="B46" s="2">
        <v>35587</v>
      </c>
      <c r="C46" s="3">
        <f>(VOO_data[[#This Row],[Último]]/B45)-1</f>
        <v>1.3990198313198032E-2</v>
      </c>
    </row>
    <row r="47" spans="1:3" x14ac:dyDescent="0.25">
      <c r="A47" s="1">
        <v>44265</v>
      </c>
      <c r="B47" s="2">
        <v>35807</v>
      </c>
      <c r="C47" s="3">
        <f>(VOO_data[[#This Row],[Último]]/B46)-1</f>
        <v>6.1820327647736928E-3</v>
      </c>
    </row>
    <row r="48" spans="1:3" x14ac:dyDescent="0.25">
      <c r="A48" s="1">
        <v>44266</v>
      </c>
      <c r="B48" s="2">
        <v>36185</v>
      </c>
      <c r="C48" s="3">
        <f>(VOO_data[[#This Row],[Último]]/B47)-1</f>
        <v>1.0556595079174391E-2</v>
      </c>
    </row>
    <row r="49" spans="1:3" x14ac:dyDescent="0.25">
      <c r="A49" s="1">
        <v>44267</v>
      </c>
      <c r="B49" s="2">
        <v>36236</v>
      </c>
      <c r="C49" s="3">
        <f>(VOO_data[[#This Row],[Último]]/B48)-1</f>
        <v>1.409423794390019E-3</v>
      </c>
    </row>
    <row r="50" spans="1:3" x14ac:dyDescent="0.25">
      <c r="A50" s="1">
        <v>44270</v>
      </c>
      <c r="B50" s="2">
        <v>36446</v>
      </c>
      <c r="C50" s="3">
        <f>(VOO_data[[#This Row],[Último]]/B49)-1</f>
        <v>5.7953416491887122E-3</v>
      </c>
    </row>
    <row r="51" spans="1:3" x14ac:dyDescent="0.25">
      <c r="A51" s="1">
        <v>44271</v>
      </c>
      <c r="B51" s="2">
        <v>36405</v>
      </c>
      <c r="C51" s="3">
        <f>(VOO_data[[#This Row],[Último]]/B50)-1</f>
        <v>-1.1249519837568389E-3</v>
      </c>
    </row>
    <row r="52" spans="1:3" x14ac:dyDescent="0.25">
      <c r="A52" s="1">
        <v>44272</v>
      </c>
      <c r="B52" s="2">
        <v>36524</v>
      </c>
      <c r="C52" s="3">
        <f>(VOO_data[[#This Row],[Último]]/B51)-1</f>
        <v>3.2687817607470748E-3</v>
      </c>
    </row>
    <row r="53" spans="1:3" x14ac:dyDescent="0.25">
      <c r="A53" s="1">
        <v>44273</v>
      </c>
      <c r="B53" s="2">
        <v>35987</v>
      </c>
      <c r="C53" s="3">
        <f>(VOO_data[[#This Row],[Último]]/B52)-1</f>
        <v>-1.4702661263826577E-2</v>
      </c>
    </row>
    <row r="54" spans="1:3" x14ac:dyDescent="0.25">
      <c r="A54" s="1">
        <v>44274</v>
      </c>
      <c r="B54" s="2">
        <v>35923</v>
      </c>
      <c r="C54" s="3">
        <f>(VOO_data[[#This Row],[Último]]/B53)-1</f>
        <v>-1.778419984994617E-3</v>
      </c>
    </row>
    <row r="55" spans="1:3" x14ac:dyDescent="0.25">
      <c r="A55" s="1">
        <v>44277</v>
      </c>
      <c r="B55" s="2">
        <v>36207</v>
      </c>
      <c r="C55" s="3">
        <f>(VOO_data[[#This Row],[Último]]/B54)-1</f>
        <v>7.9057985134871611E-3</v>
      </c>
    </row>
    <row r="56" spans="1:3" x14ac:dyDescent="0.25">
      <c r="A56" s="1">
        <v>44278</v>
      </c>
      <c r="B56" s="2">
        <v>35941</v>
      </c>
      <c r="C56" s="3">
        <f>(VOO_data[[#This Row],[Último]]/B55)-1</f>
        <v>-7.3466456762504295E-3</v>
      </c>
    </row>
    <row r="57" spans="1:3" x14ac:dyDescent="0.25">
      <c r="A57" s="1">
        <v>44279</v>
      </c>
      <c r="B57" s="2">
        <v>35742</v>
      </c>
      <c r="C57" s="3">
        <f>(VOO_data[[#This Row],[Último]]/B56)-1</f>
        <v>-5.5368520631033924E-3</v>
      </c>
    </row>
    <row r="58" spans="1:3" x14ac:dyDescent="0.25">
      <c r="A58" s="1">
        <v>44280</v>
      </c>
      <c r="B58" s="2">
        <v>35943</v>
      </c>
      <c r="C58" s="3">
        <f>(VOO_data[[#This Row],[Último]]/B57)-1</f>
        <v>5.6236360584187572E-3</v>
      </c>
    </row>
    <row r="59" spans="1:3" x14ac:dyDescent="0.25">
      <c r="A59" s="1">
        <v>44281</v>
      </c>
      <c r="B59" s="2">
        <v>36401</v>
      </c>
      <c r="C59" s="3">
        <f>(VOO_data[[#This Row],[Último]]/B58)-1</f>
        <v>1.2742397685223894E-2</v>
      </c>
    </row>
    <row r="60" spans="1:3" x14ac:dyDescent="0.25">
      <c r="A60" s="1">
        <v>44284</v>
      </c>
      <c r="B60" s="2">
        <v>36379</v>
      </c>
      <c r="C60" s="3">
        <f>(VOO_data[[#This Row],[Último]]/B59)-1</f>
        <v>-6.0437900057686011E-4</v>
      </c>
    </row>
    <row r="61" spans="1:3" x14ac:dyDescent="0.25">
      <c r="A61" s="1">
        <v>44285</v>
      </c>
      <c r="B61" s="2">
        <v>36286</v>
      </c>
      <c r="C61" s="3">
        <f>(VOO_data[[#This Row],[Último]]/B60)-1</f>
        <v>-2.5564199125869269E-3</v>
      </c>
    </row>
    <row r="62" spans="1:3" x14ac:dyDescent="0.25">
      <c r="A62" s="1">
        <v>44286</v>
      </c>
      <c r="B62" s="2">
        <v>36430</v>
      </c>
      <c r="C62" s="3">
        <f>(VOO_data[[#This Row],[Último]]/B61)-1</f>
        <v>3.9684726891913158E-3</v>
      </c>
    </row>
    <row r="63" spans="1:3" x14ac:dyDescent="0.25">
      <c r="A63" s="1">
        <v>44287</v>
      </c>
      <c r="B63" s="2">
        <v>36816</v>
      </c>
      <c r="C63" s="3">
        <f>(VOO_data[[#This Row],[Último]]/B62)-1</f>
        <v>1.0595662915179771E-2</v>
      </c>
    </row>
    <row r="64" spans="1:3" x14ac:dyDescent="0.25">
      <c r="A64" s="1">
        <v>44291</v>
      </c>
      <c r="B64" s="2">
        <v>37347</v>
      </c>
      <c r="C64" s="3">
        <f>(VOO_data[[#This Row],[Último]]/B63)-1</f>
        <v>1.4423076923076872E-2</v>
      </c>
    </row>
    <row r="65" spans="1:3" x14ac:dyDescent="0.25">
      <c r="A65" s="1">
        <v>44292</v>
      </c>
      <c r="B65" s="2">
        <v>37326</v>
      </c>
      <c r="C65" s="3">
        <f>(VOO_data[[#This Row],[Último]]/B64)-1</f>
        <v>-5.6229416017350431E-4</v>
      </c>
    </row>
    <row r="66" spans="1:3" x14ac:dyDescent="0.25">
      <c r="A66" s="1">
        <v>44293</v>
      </c>
      <c r="B66" s="2">
        <v>37373</v>
      </c>
      <c r="C66" s="3">
        <f>(VOO_data[[#This Row],[Último]]/B65)-1</f>
        <v>1.2591759095537114E-3</v>
      </c>
    </row>
    <row r="67" spans="1:3" x14ac:dyDescent="0.25">
      <c r="A67" s="1">
        <v>44294</v>
      </c>
      <c r="B67" s="2">
        <v>37555</v>
      </c>
      <c r="C67" s="3">
        <f>(VOO_data[[#This Row],[Último]]/B66)-1</f>
        <v>4.8698258100767777E-3</v>
      </c>
    </row>
    <row r="68" spans="1:3" x14ac:dyDescent="0.25">
      <c r="A68" s="1">
        <v>44295</v>
      </c>
      <c r="B68" s="2">
        <v>37825</v>
      </c>
      <c r="C68" s="3">
        <f>(VOO_data[[#This Row],[Último]]/B67)-1</f>
        <v>7.1894554653175735E-3</v>
      </c>
    </row>
    <row r="69" spans="1:3" x14ac:dyDescent="0.25">
      <c r="A69" s="1">
        <v>44298</v>
      </c>
      <c r="B69" s="2">
        <v>37842</v>
      </c>
      <c r="C69" s="3">
        <f>(VOO_data[[#This Row],[Último]]/B68)-1</f>
        <v>4.4943820224729869E-4</v>
      </c>
    </row>
    <row r="70" spans="1:3" x14ac:dyDescent="0.25">
      <c r="A70" s="1">
        <v>44299</v>
      </c>
      <c r="B70" s="2">
        <v>37945</v>
      </c>
      <c r="C70" s="3">
        <f>(VOO_data[[#This Row],[Último]]/B69)-1</f>
        <v>2.7218434543627712E-3</v>
      </c>
    </row>
    <row r="71" spans="1:3" x14ac:dyDescent="0.25">
      <c r="A71" s="1">
        <v>44300</v>
      </c>
      <c r="B71" s="2">
        <v>37823</v>
      </c>
      <c r="C71" s="3">
        <f>(VOO_data[[#This Row],[Último]]/B70)-1</f>
        <v>-3.2151798655949415E-3</v>
      </c>
    </row>
    <row r="72" spans="1:3" x14ac:dyDescent="0.25">
      <c r="A72" s="1">
        <v>44301</v>
      </c>
      <c r="B72" s="2">
        <v>38229</v>
      </c>
      <c r="C72" s="3">
        <f>(VOO_data[[#This Row],[Último]]/B71)-1</f>
        <v>1.0734209343521206E-2</v>
      </c>
    </row>
    <row r="73" spans="1:3" x14ac:dyDescent="0.25">
      <c r="A73" s="1">
        <v>44302</v>
      </c>
      <c r="B73" s="2">
        <v>38363</v>
      </c>
      <c r="C73" s="3">
        <f>(VOO_data[[#This Row],[Último]]/B72)-1</f>
        <v>3.5051923932092333E-3</v>
      </c>
    </row>
    <row r="74" spans="1:3" x14ac:dyDescent="0.25">
      <c r="A74" s="1">
        <v>44305</v>
      </c>
      <c r="B74" s="2">
        <v>38174</v>
      </c>
      <c r="C74" s="3">
        <f>(VOO_data[[#This Row],[Último]]/B73)-1</f>
        <v>-4.9266220055782517E-3</v>
      </c>
    </row>
    <row r="75" spans="1:3" x14ac:dyDescent="0.25">
      <c r="A75" s="1">
        <v>44306</v>
      </c>
      <c r="B75" s="2">
        <v>37894</v>
      </c>
      <c r="C75" s="3">
        <f>(VOO_data[[#This Row],[Último]]/B74)-1</f>
        <v>-7.3348352281658036E-3</v>
      </c>
    </row>
    <row r="76" spans="1:3" x14ac:dyDescent="0.25">
      <c r="A76" s="1">
        <v>44307</v>
      </c>
      <c r="B76" s="2">
        <v>38250</v>
      </c>
      <c r="C76" s="3">
        <f>(VOO_data[[#This Row],[Último]]/B75)-1</f>
        <v>9.3946271177494101E-3</v>
      </c>
    </row>
    <row r="77" spans="1:3" x14ac:dyDescent="0.25">
      <c r="A77" s="1">
        <v>44308</v>
      </c>
      <c r="B77" s="2">
        <v>37899</v>
      </c>
      <c r="C77" s="3">
        <f>(VOO_data[[#This Row],[Último]]/B76)-1</f>
        <v>-9.1764705882353415E-3</v>
      </c>
    </row>
    <row r="78" spans="1:3" x14ac:dyDescent="0.25">
      <c r="A78" s="1">
        <v>44309</v>
      </c>
      <c r="B78" s="2">
        <v>38303</v>
      </c>
      <c r="C78" s="3">
        <f>(VOO_data[[#This Row],[Último]]/B77)-1</f>
        <v>1.0659911871025551E-2</v>
      </c>
    </row>
    <row r="79" spans="1:3" x14ac:dyDescent="0.25">
      <c r="A79" s="1">
        <v>44312</v>
      </c>
      <c r="B79" s="2">
        <v>38386</v>
      </c>
      <c r="C79" s="3">
        <f>(VOO_data[[#This Row],[Último]]/B78)-1</f>
        <v>2.1669320940918002E-3</v>
      </c>
    </row>
    <row r="80" spans="1:3" x14ac:dyDescent="0.25">
      <c r="A80" s="1">
        <v>44313</v>
      </c>
      <c r="B80" s="2">
        <v>38374</v>
      </c>
      <c r="C80" s="3">
        <f>(VOO_data[[#This Row],[Último]]/B79)-1</f>
        <v>-3.1261397384463319E-4</v>
      </c>
    </row>
    <row r="81" spans="1:3" x14ac:dyDescent="0.25">
      <c r="A81" s="1">
        <v>44314</v>
      </c>
      <c r="B81" s="2">
        <v>38356</v>
      </c>
      <c r="C81" s="3">
        <f>(VOO_data[[#This Row],[Último]]/B80)-1</f>
        <v>-4.6906759785270147E-4</v>
      </c>
    </row>
    <row r="82" spans="1:3" x14ac:dyDescent="0.25">
      <c r="A82" s="1">
        <v>44315</v>
      </c>
      <c r="B82" s="2">
        <v>38612</v>
      </c>
      <c r="C82" s="3">
        <f>(VOO_data[[#This Row],[Último]]/B81)-1</f>
        <v>6.6743143184899711E-3</v>
      </c>
    </row>
    <row r="83" spans="1:3" x14ac:dyDescent="0.25">
      <c r="A83" s="1">
        <v>44316</v>
      </c>
      <c r="B83" s="2">
        <v>38357</v>
      </c>
      <c r="C83" s="3">
        <f>(VOO_data[[#This Row],[Último]]/B82)-1</f>
        <v>-6.6041645084429224E-3</v>
      </c>
    </row>
    <row r="84" spans="1:3" x14ac:dyDescent="0.25">
      <c r="A84" s="1">
        <v>44319</v>
      </c>
      <c r="B84" s="2">
        <v>38444</v>
      </c>
      <c r="C84" s="3">
        <f>(VOO_data[[#This Row],[Último]]/B83)-1</f>
        <v>2.2681648721223358E-3</v>
      </c>
    </row>
    <row r="85" spans="1:3" x14ac:dyDescent="0.25">
      <c r="A85" s="1">
        <v>44320</v>
      </c>
      <c r="B85" s="2">
        <v>38210</v>
      </c>
      <c r="C85" s="3">
        <f>(VOO_data[[#This Row],[Último]]/B84)-1</f>
        <v>-6.0867755696597525E-3</v>
      </c>
    </row>
    <row r="86" spans="1:3" x14ac:dyDescent="0.25">
      <c r="A86" s="1">
        <v>44321</v>
      </c>
      <c r="B86" s="2">
        <v>38217</v>
      </c>
      <c r="C86" s="3">
        <f>(VOO_data[[#This Row],[Último]]/B85)-1</f>
        <v>1.8319811567657496E-4</v>
      </c>
    </row>
    <row r="87" spans="1:3" x14ac:dyDescent="0.25">
      <c r="A87" s="1">
        <v>44322</v>
      </c>
      <c r="B87" s="2">
        <v>38528</v>
      </c>
      <c r="C87" s="3">
        <f>(VOO_data[[#This Row],[Último]]/B86)-1</f>
        <v>8.1377397493263004E-3</v>
      </c>
    </row>
    <row r="88" spans="1:3" x14ac:dyDescent="0.25">
      <c r="A88" s="1">
        <v>44323</v>
      </c>
      <c r="B88" s="2">
        <v>38803</v>
      </c>
      <c r="C88" s="3">
        <f>(VOO_data[[#This Row],[Último]]/B87)-1</f>
        <v>7.137666112956742E-3</v>
      </c>
    </row>
    <row r="89" spans="1:3" x14ac:dyDescent="0.25">
      <c r="A89" s="1">
        <v>44326</v>
      </c>
      <c r="B89" s="2">
        <v>38423</v>
      </c>
      <c r="C89" s="3">
        <f>(VOO_data[[#This Row],[Último]]/B88)-1</f>
        <v>-9.7930572378424063E-3</v>
      </c>
    </row>
    <row r="90" spans="1:3" x14ac:dyDescent="0.25">
      <c r="A90" s="1">
        <v>44327</v>
      </c>
      <c r="B90" s="2">
        <v>38086</v>
      </c>
      <c r="C90" s="3">
        <f>(VOO_data[[#This Row],[Último]]/B89)-1</f>
        <v>-8.7707883299065204E-3</v>
      </c>
    </row>
    <row r="91" spans="1:3" x14ac:dyDescent="0.25">
      <c r="A91" s="1">
        <v>44328</v>
      </c>
      <c r="B91" s="2">
        <v>37273</v>
      </c>
      <c r="C91" s="3">
        <f>(VOO_data[[#This Row],[Último]]/B90)-1</f>
        <v>-2.1346426508428329E-2</v>
      </c>
    </row>
    <row r="92" spans="1:3" x14ac:dyDescent="0.25">
      <c r="A92" s="1">
        <v>44329</v>
      </c>
      <c r="B92" s="2">
        <v>37716</v>
      </c>
      <c r="C92" s="3">
        <f>(VOO_data[[#This Row],[Último]]/B91)-1</f>
        <v>1.1885278888203343E-2</v>
      </c>
    </row>
    <row r="93" spans="1:3" x14ac:dyDescent="0.25">
      <c r="A93" s="1">
        <v>44330</v>
      </c>
      <c r="B93" s="2">
        <v>38295</v>
      </c>
      <c r="C93" s="3">
        <f>(VOO_data[[#This Row],[Último]]/B92)-1</f>
        <v>1.5351574928412326E-2</v>
      </c>
    </row>
    <row r="94" spans="1:3" x14ac:dyDescent="0.25">
      <c r="A94" s="1">
        <v>44333</v>
      </c>
      <c r="B94" s="2">
        <v>38203</v>
      </c>
      <c r="C94" s="3">
        <f>(VOO_data[[#This Row],[Último]]/B93)-1</f>
        <v>-2.4024024024024149E-3</v>
      </c>
    </row>
    <row r="95" spans="1:3" x14ac:dyDescent="0.25">
      <c r="A95" s="1">
        <v>44334</v>
      </c>
      <c r="B95" s="2">
        <v>37873</v>
      </c>
      <c r="C95" s="3">
        <f>(VOO_data[[#This Row],[Último]]/B94)-1</f>
        <v>-8.6380650734235731E-3</v>
      </c>
    </row>
    <row r="96" spans="1:3" x14ac:dyDescent="0.25">
      <c r="A96" s="1">
        <v>44335</v>
      </c>
      <c r="B96" s="2">
        <v>37773</v>
      </c>
      <c r="C96" s="3">
        <f>(VOO_data[[#This Row],[Último]]/B95)-1</f>
        <v>-2.6404034536476884E-3</v>
      </c>
    </row>
    <row r="97" spans="1:3" x14ac:dyDescent="0.25">
      <c r="A97" s="1">
        <v>44336</v>
      </c>
      <c r="B97" s="2">
        <v>38176</v>
      </c>
      <c r="C97" s="3">
        <f>(VOO_data[[#This Row],[Último]]/B96)-1</f>
        <v>1.0668996373070616E-2</v>
      </c>
    </row>
    <row r="98" spans="1:3" x14ac:dyDescent="0.25">
      <c r="A98" s="1">
        <v>44337</v>
      </c>
      <c r="B98" s="2">
        <v>38147</v>
      </c>
      <c r="C98" s="3">
        <f>(VOO_data[[#This Row],[Último]]/B97)-1</f>
        <v>-7.5963956412405942E-4</v>
      </c>
    </row>
    <row r="99" spans="1:3" x14ac:dyDescent="0.25">
      <c r="A99" s="1">
        <v>44340</v>
      </c>
      <c r="B99" s="2">
        <v>38532</v>
      </c>
      <c r="C99" s="3">
        <f>(VOO_data[[#This Row],[Último]]/B98)-1</f>
        <v>1.009253676566968E-2</v>
      </c>
    </row>
    <row r="100" spans="1:3" x14ac:dyDescent="0.25">
      <c r="A100" s="1">
        <v>44341</v>
      </c>
      <c r="B100" s="2">
        <v>38451</v>
      </c>
      <c r="C100" s="3">
        <f>(VOO_data[[#This Row],[Último]]/B99)-1</f>
        <v>-2.1021488632824159E-3</v>
      </c>
    </row>
    <row r="101" spans="1:3" x14ac:dyDescent="0.25">
      <c r="A101" s="1">
        <v>44342</v>
      </c>
      <c r="B101" s="2">
        <v>38521</v>
      </c>
      <c r="C101" s="3">
        <f>(VOO_data[[#This Row],[Último]]/B100)-1</f>
        <v>1.8204988166756753E-3</v>
      </c>
    </row>
    <row r="102" spans="1:3" x14ac:dyDescent="0.25">
      <c r="A102" s="1">
        <v>44343</v>
      </c>
      <c r="B102" s="2">
        <v>38538</v>
      </c>
      <c r="C102" s="3">
        <f>(VOO_data[[#This Row],[Último]]/B101)-1</f>
        <v>4.4131772280064929E-4</v>
      </c>
    </row>
    <row r="103" spans="1:3" x14ac:dyDescent="0.25">
      <c r="A103" s="1">
        <v>44344</v>
      </c>
      <c r="B103" s="2">
        <v>38613</v>
      </c>
      <c r="C103" s="3">
        <f>(VOO_data[[#This Row],[Último]]/B102)-1</f>
        <v>1.9461310913904128E-3</v>
      </c>
    </row>
    <row r="104" spans="1:3" x14ac:dyDescent="0.25">
      <c r="A104" s="1">
        <v>44348</v>
      </c>
      <c r="B104" s="2">
        <v>38583</v>
      </c>
      <c r="C104" s="3">
        <f>(VOO_data[[#This Row],[Último]]/B103)-1</f>
        <v>-7.769404086706011E-4</v>
      </c>
    </row>
    <row r="105" spans="1:3" x14ac:dyDescent="0.25">
      <c r="A105" s="1">
        <v>44349</v>
      </c>
      <c r="B105" s="2">
        <v>38648</v>
      </c>
      <c r="C105" s="3">
        <f>(VOO_data[[#This Row],[Último]]/B104)-1</f>
        <v>1.684679781250864E-3</v>
      </c>
    </row>
    <row r="106" spans="1:3" x14ac:dyDescent="0.25">
      <c r="A106" s="1">
        <v>44350</v>
      </c>
      <c r="B106" s="2">
        <v>38501</v>
      </c>
      <c r="C106" s="3">
        <f>(VOO_data[[#This Row],[Último]]/B105)-1</f>
        <v>-3.8035603394742656E-3</v>
      </c>
    </row>
    <row r="107" spans="1:3" x14ac:dyDescent="0.25">
      <c r="A107" s="1">
        <v>44351</v>
      </c>
      <c r="B107" s="2">
        <v>38850</v>
      </c>
      <c r="C107" s="3">
        <f>(VOO_data[[#This Row],[Último]]/B106)-1</f>
        <v>9.0646996181917849E-3</v>
      </c>
    </row>
    <row r="108" spans="1:3" x14ac:dyDescent="0.25">
      <c r="A108" s="1">
        <v>44354</v>
      </c>
      <c r="B108" s="2">
        <v>38817</v>
      </c>
      <c r="C108" s="3">
        <f>(VOO_data[[#This Row],[Último]]/B107)-1</f>
        <v>-8.4942084942085661E-4</v>
      </c>
    </row>
    <row r="109" spans="1:3" x14ac:dyDescent="0.25">
      <c r="A109" s="1">
        <v>44355</v>
      </c>
      <c r="B109" s="2">
        <v>38823</v>
      </c>
      <c r="C109" s="3">
        <f>(VOO_data[[#This Row],[Último]]/B108)-1</f>
        <v>1.5457145065300715E-4</v>
      </c>
    </row>
    <row r="110" spans="1:3" x14ac:dyDescent="0.25">
      <c r="A110" s="1">
        <v>44356</v>
      </c>
      <c r="B110" s="2">
        <v>38762</v>
      </c>
      <c r="C110" s="3">
        <f>(VOO_data[[#This Row],[Último]]/B109)-1</f>
        <v>-1.5712335471240735E-3</v>
      </c>
    </row>
    <row r="111" spans="1:3" x14ac:dyDescent="0.25">
      <c r="A111" s="1">
        <v>44357</v>
      </c>
      <c r="B111" s="2">
        <v>38941</v>
      </c>
      <c r="C111" s="3">
        <f>(VOO_data[[#This Row],[Último]]/B110)-1</f>
        <v>4.6179247716835459E-3</v>
      </c>
    </row>
    <row r="112" spans="1:3" x14ac:dyDescent="0.25">
      <c r="A112" s="1">
        <v>44358</v>
      </c>
      <c r="B112" s="2">
        <v>39009</v>
      </c>
      <c r="C112" s="3">
        <f>(VOO_data[[#This Row],[Último]]/B111)-1</f>
        <v>1.7462314783904809E-3</v>
      </c>
    </row>
    <row r="113" spans="1:3" x14ac:dyDescent="0.25">
      <c r="A113" s="1">
        <v>44361</v>
      </c>
      <c r="B113" s="2">
        <v>39107</v>
      </c>
      <c r="C113" s="3">
        <f>(VOO_data[[#This Row],[Último]]/B112)-1</f>
        <v>2.512240764951601E-3</v>
      </c>
    </row>
    <row r="114" spans="1:3" x14ac:dyDescent="0.25">
      <c r="A114" s="1">
        <v>44362</v>
      </c>
      <c r="B114" s="2">
        <v>39025</v>
      </c>
      <c r="C114" s="3">
        <f>(VOO_data[[#This Row],[Último]]/B113)-1</f>
        <v>-2.0968113125527932E-3</v>
      </c>
    </row>
    <row r="115" spans="1:3" x14ac:dyDescent="0.25">
      <c r="A115" s="1">
        <v>44363</v>
      </c>
      <c r="B115" s="2">
        <v>38811</v>
      </c>
      <c r="C115" s="3">
        <f>(VOO_data[[#This Row],[Último]]/B114)-1</f>
        <v>-5.4836643177450517E-3</v>
      </c>
    </row>
    <row r="116" spans="1:3" x14ac:dyDescent="0.25">
      <c r="A116" s="1">
        <v>44364</v>
      </c>
      <c r="B116" s="2">
        <v>38797</v>
      </c>
      <c r="C116" s="3">
        <f>(VOO_data[[#This Row],[Último]]/B115)-1</f>
        <v>-3.6072247558682768E-4</v>
      </c>
    </row>
    <row r="117" spans="1:3" x14ac:dyDescent="0.25">
      <c r="A117" s="1">
        <v>44365</v>
      </c>
      <c r="B117" s="2">
        <v>38282</v>
      </c>
      <c r="C117" s="3">
        <f>(VOO_data[[#This Row],[Último]]/B116)-1</f>
        <v>-1.3274222233677913E-2</v>
      </c>
    </row>
    <row r="118" spans="1:3" x14ac:dyDescent="0.25">
      <c r="A118" s="1">
        <v>44368</v>
      </c>
      <c r="B118" s="2">
        <v>38818</v>
      </c>
      <c r="C118" s="3">
        <f>(VOO_data[[#This Row],[Último]]/B117)-1</f>
        <v>1.4001358340734571E-2</v>
      </c>
    </row>
    <row r="119" spans="1:3" x14ac:dyDescent="0.25">
      <c r="A119" s="1">
        <v>44369</v>
      </c>
      <c r="B119" s="2">
        <v>39024</v>
      </c>
      <c r="C119" s="3">
        <f>(VOO_data[[#This Row],[Último]]/B118)-1</f>
        <v>5.3068164253695649E-3</v>
      </c>
    </row>
    <row r="120" spans="1:3" x14ac:dyDescent="0.25">
      <c r="A120" s="1">
        <v>44370</v>
      </c>
      <c r="B120" s="2">
        <v>38982</v>
      </c>
      <c r="C120" s="3">
        <f>(VOO_data[[#This Row],[Último]]/B119)-1</f>
        <v>-1.0762607626075837E-3</v>
      </c>
    </row>
    <row r="121" spans="1:3" x14ac:dyDescent="0.25">
      <c r="A121" s="1">
        <v>44371</v>
      </c>
      <c r="B121" s="2">
        <v>39205</v>
      </c>
      <c r="C121" s="3">
        <f>(VOO_data[[#This Row],[Último]]/B120)-1</f>
        <v>5.7205889897902207E-3</v>
      </c>
    </row>
    <row r="122" spans="1:3" x14ac:dyDescent="0.25">
      <c r="A122" s="1">
        <v>44372</v>
      </c>
      <c r="B122" s="2">
        <v>39350</v>
      </c>
      <c r="C122" s="3">
        <f>(VOO_data[[#This Row],[Último]]/B121)-1</f>
        <v>3.698507843387322E-3</v>
      </c>
    </row>
    <row r="123" spans="1:3" x14ac:dyDescent="0.25">
      <c r="A123" s="1">
        <v>44375</v>
      </c>
      <c r="B123" s="2">
        <v>39432</v>
      </c>
      <c r="C123" s="3">
        <f>(VOO_data[[#This Row],[Último]]/B122)-1</f>
        <v>2.0838627700126011E-3</v>
      </c>
    </row>
    <row r="124" spans="1:3" x14ac:dyDescent="0.25">
      <c r="A124" s="1">
        <v>44376</v>
      </c>
      <c r="B124" s="2">
        <v>39316</v>
      </c>
      <c r="C124" s="3">
        <f>(VOO_data[[#This Row],[Último]]/B123)-1</f>
        <v>-2.9417731791437918E-3</v>
      </c>
    </row>
    <row r="125" spans="1:3" x14ac:dyDescent="0.25">
      <c r="A125" s="1">
        <v>44377</v>
      </c>
      <c r="B125" s="2">
        <v>39352</v>
      </c>
      <c r="C125" s="3">
        <f>(VOO_data[[#This Row],[Último]]/B124)-1</f>
        <v>9.1565774748203488E-4</v>
      </c>
    </row>
    <row r="126" spans="1:3" x14ac:dyDescent="0.25">
      <c r="A126" s="1">
        <v>44378</v>
      </c>
      <c r="B126" s="2">
        <v>39574</v>
      </c>
      <c r="C126" s="3">
        <f>(VOO_data[[#This Row],[Último]]/B125)-1</f>
        <v>5.6413905265297881E-3</v>
      </c>
    </row>
    <row r="127" spans="1:3" x14ac:dyDescent="0.25">
      <c r="A127" s="1">
        <v>44379</v>
      </c>
      <c r="B127" s="2">
        <v>39875</v>
      </c>
      <c r="C127" s="3">
        <f>(VOO_data[[#This Row],[Último]]/B126)-1</f>
        <v>7.6060039419820757E-3</v>
      </c>
    </row>
    <row r="128" spans="1:3" x14ac:dyDescent="0.25">
      <c r="A128" s="1">
        <v>44380</v>
      </c>
      <c r="B128" s="2">
        <v>39875</v>
      </c>
      <c r="C128" s="3">
        <f>(VOO_data[[#This Row],[Último]]/B127)-1</f>
        <v>0</v>
      </c>
    </row>
    <row r="129" spans="1:3" x14ac:dyDescent="0.25">
      <c r="A129" s="1">
        <v>44381</v>
      </c>
      <c r="B129" s="2">
        <v>39875</v>
      </c>
      <c r="C129" s="3">
        <f>(VOO_data[[#This Row],[Último]]/B128)-1</f>
        <v>0</v>
      </c>
    </row>
    <row r="130" spans="1:3" x14ac:dyDescent="0.25">
      <c r="A130" s="1">
        <v>44382</v>
      </c>
      <c r="B130" s="2">
        <v>39875</v>
      </c>
      <c r="C130" s="3">
        <f>(VOO_data[[#This Row],[Último]]/B129)-1</f>
        <v>0</v>
      </c>
    </row>
    <row r="131" spans="1:3" x14ac:dyDescent="0.25">
      <c r="A131" s="1">
        <v>44383</v>
      </c>
      <c r="B131" s="2">
        <v>39800</v>
      </c>
      <c r="C131" s="3">
        <f>(VOO_data[[#This Row],[Último]]/B130)-1</f>
        <v>-1.8808777429467627E-3</v>
      </c>
    </row>
    <row r="132" spans="1:3" x14ac:dyDescent="0.25">
      <c r="A132" s="1">
        <v>44384</v>
      </c>
      <c r="B132" s="2">
        <v>39937</v>
      </c>
      <c r="C132" s="3">
        <f>(VOO_data[[#This Row],[Último]]/B131)-1</f>
        <v>3.4422110552763119E-3</v>
      </c>
    </row>
    <row r="133" spans="1:3" x14ac:dyDescent="0.25">
      <c r="A133" s="1">
        <v>44385</v>
      </c>
      <c r="B133" s="2">
        <v>39619</v>
      </c>
      <c r="C133" s="3">
        <f>(VOO_data[[#This Row],[Último]]/B132)-1</f>
        <v>-7.9625410020782716E-3</v>
      </c>
    </row>
    <row r="134" spans="1:3" x14ac:dyDescent="0.25">
      <c r="A134" s="1">
        <v>44386</v>
      </c>
      <c r="B134" s="2">
        <v>40037</v>
      </c>
      <c r="C134" s="3">
        <f>(VOO_data[[#This Row],[Último]]/B133)-1</f>
        <v>1.0550493450112386E-2</v>
      </c>
    </row>
    <row r="135" spans="1:3" x14ac:dyDescent="0.25">
      <c r="A135" s="1">
        <v>44389</v>
      </c>
      <c r="B135" s="2">
        <v>40182</v>
      </c>
      <c r="C135" s="3">
        <f>(VOO_data[[#This Row],[Último]]/B134)-1</f>
        <v>3.6216499737742325E-3</v>
      </c>
    </row>
    <row r="136" spans="1:3" x14ac:dyDescent="0.25">
      <c r="A136" s="1">
        <v>44390</v>
      </c>
      <c r="B136" s="2">
        <v>40046</v>
      </c>
      <c r="C136" s="3">
        <f>(VOO_data[[#This Row],[Último]]/B135)-1</f>
        <v>-3.384600069682997E-3</v>
      </c>
    </row>
    <row r="137" spans="1:3" x14ac:dyDescent="0.25">
      <c r="A137" s="1">
        <v>44391</v>
      </c>
      <c r="B137" s="2">
        <v>40101</v>
      </c>
      <c r="C137" s="3">
        <f>(VOO_data[[#This Row],[Último]]/B136)-1</f>
        <v>1.3734205663487042E-3</v>
      </c>
    </row>
    <row r="138" spans="1:3" x14ac:dyDescent="0.25">
      <c r="A138" s="1">
        <v>44392</v>
      </c>
      <c r="B138" s="2">
        <v>39972</v>
      </c>
      <c r="C138" s="3">
        <f>(VOO_data[[#This Row],[Último]]/B137)-1</f>
        <v>-3.2168773846038556E-3</v>
      </c>
    </row>
    <row r="139" spans="1:3" x14ac:dyDescent="0.25">
      <c r="A139" s="1">
        <v>44393</v>
      </c>
      <c r="B139" s="2">
        <v>39661</v>
      </c>
      <c r="C139" s="3">
        <f>(VOO_data[[#This Row],[Último]]/B138)-1</f>
        <v>-7.7804463124186984E-3</v>
      </c>
    </row>
    <row r="140" spans="1:3" x14ac:dyDescent="0.25">
      <c r="A140" s="1">
        <v>44396</v>
      </c>
      <c r="B140" s="2">
        <v>39068</v>
      </c>
      <c r="C140" s="3">
        <f>(VOO_data[[#This Row],[Último]]/B139)-1</f>
        <v>-1.4951715791331588E-2</v>
      </c>
    </row>
    <row r="141" spans="1:3" x14ac:dyDescent="0.25">
      <c r="A141" s="1">
        <v>44397</v>
      </c>
      <c r="B141" s="2">
        <v>39620</v>
      </c>
      <c r="C141" s="3">
        <f>(VOO_data[[#This Row],[Último]]/B140)-1</f>
        <v>1.4129210607146447E-2</v>
      </c>
    </row>
    <row r="142" spans="1:3" x14ac:dyDescent="0.25">
      <c r="A142" s="1">
        <v>44398</v>
      </c>
      <c r="B142" s="2">
        <v>39953</v>
      </c>
      <c r="C142" s="3">
        <f>(VOO_data[[#This Row],[Último]]/B141)-1</f>
        <v>8.4048460373549183E-3</v>
      </c>
    </row>
    <row r="143" spans="1:3" x14ac:dyDescent="0.25">
      <c r="A143" s="1">
        <v>44399</v>
      </c>
      <c r="B143" s="2">
        <v>40038</v>
      </c>
      <c r="C143" s="3">
        <f>(VOO_data[[#This Row],[Último]]/B142)-1</f>
        <v>2.127499812279332E-3</v>
      </c>
    </row>
    <row r="144" spans="1:3" x14ac:dyDescent="0.25">
      <c r="A144" s="1">
        <v>44400</v>
      </c>
      <c r="B144" s="2">
        <v>40438</v>
      </c>
      <c r="C144" s="3">
        <f>(VOO_data[[#This Row],[Último]]/B143)-1</f>
        <v>9.9905090164342791E-3</v>
      </c>
    </row>
    <row r="145" spans="1:3" x14ac:dyDescent="0.25">
      <c r="A145" s="1">
        <v>44403</v>
      </c>
      <c r="B145" s="2">
        <v>40541</v>
      </c>
      <c r="C145" s="3">
        <f>(VOO_data[[#This Row],[Último]]/B144)-1</f>
        <v>2.5471091547555336E-3</v>
      </c>
    </row>
    <row r="146" spans="1:3" x14ac:dyDescent="0.25">
      <c r="A146" s="1">
        <v>44404</v>
      </c>
      <c r="B146" s="2">
        <v>40361</v>
      </c>
      <c r="C146" s="3">
        <f>(VOO_data[[#This Row],[Último]]/B145)-1</f>
        <v>-4.4399496805702654E-3</v>
      </c>
    </row>
    <row r="147" spans="1:3" x14ac:dyDescent="0.25">
      <c r="A147" s="1">
        <v>44405</v>
      </c>
      <c r="B147" s="2">
        <v>40339</v>
      </c>
      <c r="C147" s="3">
        <f>(VOO_data[[#This Row],[Último]]/B146)-1</f>
        <v>-5.4508064715941273E-4</v>
      </c>
    </row>
    <row r="148" spans="1:3" x14ac:dyDescent="0.25">
      <c r="A148" s="1">
        <v>44406</v>
      </c>
      <c r="B148" s="2">
        <v>40513</v>
      </c>
      <c r="C148" s="3">
        <f>(VOO_data[[#This Row],[Último]]/B147)-1</f>
        <v>4.3134435657801173E-3</v>
      </c>
    </row>
    <row r="149" spans="1:3" x14ac:dyDescent="0.25">
      <c r="A149" s="1">
        <v>44407</v>
      </c>
      <c r="B149" s="2">
        <v>40315</v>
      </c>
      <c r="C149" s="3">
        <f>(VOO_data[[#This Row],[Último]]/B148)-1</f>
        <v>-4.8873201194677973E-3</v>
      </c>
    </row>
    <row r="150" spans="1:3" x14ac:dyDescent="0.25">
      <c r="A150" s="1">
        <v>44410</v>
      </c>
      <c r="B150" s="2">
        <v>40233</v>
      </c>
      <c r="C150" s="3">
        <f>(VOO_data[[#This Row],[Último]]/B149)-1</f>
        <v>-2.0339823886891262E-3</v>
      </c>
    </row>
    <row r="151" spans="1:3" x14ac:dyDescent="0.25">
      <c r="A151" s="1">
        <v>44411</v>
      </c>
      <c r="B151" s="2">
        <v>40558</v>
      </c>
      <c r="C151" s="3">
        <f>(VOO_data[[#This Row],[Último]]/B150)-1</f>
        <v>8.0779459647553065E-3</v>
      </c>
    </row>
    <row r="152" spans="1:3" x14ac:dyDescent="0.25">
      <c r="A152" s="1">
        <v>44412</v>
      </c>
      <c r="B152" s="2">
        <v>40364</v>
      </c>
      <c r="C152" s="3">
        <f>(VOO_data[[#This Row],[Último]]/B151)-1</f>
        <v>-4.7832733369495006E-3</v>
      </c>
    </row>
    <row r="153" spans="1:3" x14ac:dyDescent="0.25">
      <c r="A153" s="1">
        <v>44413</v>
      </c>
      <c r="B153" s="2">
        <v>40616</v>
      </c>
      <c r="C153" s="3">
        <f>(VOO_data[[#This Row],[Último]]/B152)-1</f>
        <v>6.2431869983152755E-3</v>
      </c>
    </row>
    <row r="154" spans="1:3" x14ac:dyDescent="0.25">
      <c r="A154" s="1">
        <v>44414</v>
      </c>
      <c r="B154" s="2">
        <v>40686</v>
      </c>
      <c r="C154" s="3">
        <f>(VOO_data[[#This Row],[Último]]/B153)-1</f>
        <v>1.7234587354737485E-3</v>
      </c>
    </row>
    <row r="155" spans="1:3" x14ac:dyDescent="0.25">
      <c r="A155" s="1">
        <v>44415</v>
      </c>
      <c r="B155" s="2">
        <v>40686</v>
      </c>
      <c r="C155" s="3">
        <f>(VOO_data[[#This Row],[Último]]/B154)-1</f>
        <v>0</v>
      </c>
    </row>
    <row r="156" spans="1:3" x14ac:dyDescent="0.25">
      <c r="A156" s="1">
        <v>44416</v>
      </c>
      <c r="B156" s="2">
        <v>40686</v>
      </c>
      <c r="C156" s="3">
        <f>(VOO_data[[#This Row],[Último]]/B155)-1</f>
        <v>0</v>
      </c>
    </row>
    <row r="157" spans="1:3" x14ac:dyDescent="0.25">
      <c r="A157" s="1">
        <v>44417</v>
      </c>
      <c r="B157" s="2">
        <v>40647</v>
      </c>
      <c r="C157" s="3">
        <f>(VOO_data[[#This Row],[Último]]/B156)-1</f>
        <v>-9.5856068426480867E-4</v>
      </c>
    </row>
    <row r="158" spans="1:3" x14ac:dyDescent="0.25">
      <c r="A158" s="1">
        <v>44418</v>
      </c>
      <c r="B158" s="2">
        <v>40698</v>
      </c>
      <c r="C158" s="3">
        <f>(VOO_data[[#This Row],[Último]]/B157)-1</f>
        <v>1.2547051442910462E-3</v>
      </c>
    </row>
    <row r="159" spans="1:3" x14ac:dyDescent="0.25">
      <c r="A159" s="1">
        <v>44419</v>
      </c>
      <c r="B159" s="2">
        <v>40796</v>
      </c>
      <c r="C159" s="3">
        <f>(VOO_data[[#This Row],[Último]]/B158)-1</f>
        <v>2.4079807361541139E-3</v>
      </c>
    </row>
    <row r="160" spans="1:3" x14ac:dyDescent="0.25">
      <c r="A160" s="1">
        <v>44420</v>
      </c>
      <c r="B160" s="2">
        <v>40915</v>
      </c>
      <c r="C160" s="3">
        <f>(VOO_data[[#This Row],[Último]]/B159)-1</f>
        <v>2.916952642415982E-3</v>
      </c>
    </row>
    <row r="161" spans="1:3" x14ac:dyDescent="0.25">
      <c r="A161" s="1">
        <v>44421</v>
      </c>
      <c r="B161" s="2">
        <v>40996</v>
      </c>
      <c r="C161" s="3">
        <f>(VOO_data[[#This Row],[Último]]/B160)-1</f>
        <v>1.9797140413051473E-3</v>
      </c>
    </row>
    <row r="162" spans="1:3" x14ac:dyDescent="0.25">
      <c r="A162" s="1">
        <v>44424</v>
      </c>
      <c r="B162" s="2">
        <v>41094</v>
      </c>
      <c r="C162" s="3">
        <f>(VOO_data[[#This Row],[Último]]/B161)-1</f>
        <v>2.3904771197189589E-3</v>
      </c>
    </row>
    <row r="163" spans="1:3" x14ac:dyDescent="0.25">
      <c r="A163" s="1">
        <v>44425</v>
      </c>
      <c r="B163" s="2">
        <v>40823</v>
      </c>
      <c r="C163" s="3">
        <f>(VOO_data[[#This Row],[Último]]/B162)-1</f>
        <v>-6.5946366866209694E-3</v>
      </c>
    </row>
    <row r="164" spans="1:3" x14ac:dyDescent="0.25">
      <c r="A164" s="1">
        <v>44426</v>
      </c>
      <c r="B164" s="2">
        <v>40384</v>
      </c>
      <c r="C164" s="3">
        <f>(VOO_data[[#This Row],[Último]]/B163)-1</f>
        <v>-1.0753741763221747E-2</v>
      </c>
    </row>
    <row r="165" spans="1:3" x14ac:dyDescent="0.25">
      <c r="A165" s="1">
        <v>44427</v>
      </c>
      <c r="B165" s="2">
        <v>40441</v>
      </c>
      <c r="C165" s="3">
        <f>(VOO_data[[#This Row],[Último]]/B164)-1</f>
        <v>1.4114500792392626E-3</v>
      </c>
    </row>
    <row r="166" spans="1:3" x14ac:dyDescent="0.25">
      <c r="A166" s="1">
        <v>44428</v>
      </c>
      <c r="B166" s="2">
        <v>40761</v>
      </c>
      <c r="C166" s="3">
        <f>(VOO_data[[#This Row],[Último]]/B165)-1</f>
        <v>7.9127618011423095E-3</v>
      </c>
    </row>
    <row r="167" spans="1:3" x14ac:dyDescent="0.25">
      <c r="A167" s="1">
        <v>44431</v>
      </c>
      <c r="B167" s="2">
        <v>41122</v>
      </c>
      <c r="C167" s="3">
        <f>(VOO_data[[#This Row],[Último]]/B166)-1</f>
        <v>8.8565049925173334E-3</v>
      </c>
    </row>
    <row r="168" spans="1:3" x14ac:dyDescent="0.25">
      <c r="A168" s="1">
        <v>44432</v>
      </c>
      <c r="B168" s="2">
        <v>41187</v>
      </c>
      <c r="C168" s="3">
        <f>(VOO_data[[#This Row],[Último]]/B167)-1</f>
        <v>1.5806624191430085E-3</v>
      </c>
    </row>
    <row r="169" spans="1:3" x14ac:dyDescent="0.25">
      <c r="A169" s="1">
        <v>44433</v>
      </c>
      <c r="B169" s="2">
        <v>41263</v>
      </c>
      <c r="C169" s="3">
        <f>(VOO_data[[#This Row],[Último]]/B168)-1</f>
        <v>1.8452424308641469E-3</v>
      </c>
    </row>
    <row r="170" spans="1:3" x14ac:dyDescent="0.25">
      <c r="A170" s="1">
        <v>44434</v>
      </c>
      <c r="B170" s="2">
        <v>41022</v>
      </c>
      <c r="C170" s="3">
        <f>(VOO_data[[#This Row],[Último]]/B169)-1</f>
        <v>-5.840583573661684E-3</v>
      </c>
    </row>
    <row r="171" spans="1:3" x14ac:dyDescent="0.25">
      <c r="A171" s="1">
        <v>44435</v>
      </c>
      <c r="B171" s="2">
        <v>41386</v>
      </c>
      <c r="C171" s="3">
        <f>(VOO_data[[#This Row],[Último]]/B170)-1</f>
        <v>8.8732875042660808E-3</v>
      </c>
    </row>
    <row r="172" spans="1:3" x14ac:dyDescent="0.25">
      <c r="A172" s="1">
        <v>44438</v>
      </c>
      <c r="B172" s="2">
        <v>41576</v>
      </c>
      <c r="C172" s="3">
        <f>(VOO_data[[#This Row],[Último]]/B171)-1</f>
        <v>4.5909244672110994E-3</v>
      </c>
    </row>
    <row r="173" spans="1:3" x14ac:dyDescent="0.25">
      <c r="A173" s="1">
        <v>44439</v>
      </c>
      <c r="B173" s="2">
        <v>41505</v>
      </c>
      <c r="C173" s="3">
        <f>(VOO_data[[#This Row],[Último]]/B172)-1</f>
        <v>-1.7077159899941963E-3</v>
      </c>
    </row>
    <row r="174" spans="1:3" x14ac:dyDescent="0.25">
      <c r="A174" s="1">
        <v>44440</v>
      </c>
      <c r="B174" s="2">
        <v>41549</v>
      </c>
      <c r="C174" s="3">
        <f>(VOO_data[[#This Row],[Último]]/B173)-1</f>
        <v>1.0601132393688317E-3</v>
      </c>
    </row>
    <row r="175" spans="1:3" x14ac:dyDescent="0.25">
      <c r="A175" s="1">
        <v>44441</v>
      </c>
      <c r="B175" s="2">
        <v>41673</v>
      </c>
      <c r="C175" s="3">
        <f>(VOO_data[[#This Row],[Último]]/B174)-1</f>
        <v>2.9844280247419697E-3</v>
      </c>
    </row>
    <row r="176" spans="1:3" x14ac:dyDescent="0.25">
      <c r="A176" s="1">
        <v>44442</v>
      </c>
      <c r="B176" s="2">
        <v>41657</v>
      </c>
      <c r="C176" s="3">
        <f>(VOO_data[[#This Row],[Último]]/B175)-1</f>
        <v>-3.8394164087063309E-4</v>
      </c>
    </row>
    <row r="177" spans="1:3" x14ac:dyDescent="0.25">
      <c r="A177" s="1">
        <v>44446</v>
      </c>
      <c r="B177" s="2">
        <v>41503</v>
      </c>
      <c r="C177" s="3">
        <f>(VOO_data[[#This Row],[Último]]/B176)-1</f>
        <v>-3.6968576709797141E-3</v>
      </c>
    </row>
    <row r="178" spans="1:3" x14ac:dyDescent="0.25">
      <c r="A178" s="1">
        <v>44447</v>
      </c>
      <c r="B178" s="2">
        <v>41463</v>
      </c>
      <c r="C178" s="3">
        <f>(VOO_data[[#This Row],[Último]]/B177)-1</f>
        <v>-9.6378575042765924E-4</v>
      </c>
    </row>
    <row r="179" spans="1:3" x14ac:dyDescent="0.25">
      <c r="A179" s="1">
        <v>44448</v>
      </c>
      <c r="B179" s="2">
        <v>41277</v>
      </c>
      <c r="C179" s="3">
        <f>(VOO_data[[#This Row],[Último]]/B178)-1</f>
        <v>-4.4859272122133032E-3</v>
      </c>
    </row>
    <row r="180" spans="1:3" x14ac:dyDescent="0.25">
      <c r="A180" s="1">
        <v>44449</v>
      </c>
      <c r="B180" s="2">
        <v>40958</v>
      </c>
      <c r="C180" s="3">
        <f>(VOO_data[[#This Row],[Último]]/B179)-1</f>
        <v>-7.7282748261743306E-3</v>
      </c>
    </row>
    <row r="181" spans="1:3" x14ac:dyDescent="0.25">
      <c r="A181" s="1">
        <v>44452</v>
      </c>
      <c r="B181" s="2">
        <v>41054</v>
      </c>
      <c r="C181" s="3">
        <f>(VOO_data[[#This Row],[Último]]/B180)-1</f>
        <v>2.3438644465061387E-3</v>
      </c>
    </row>
    <row r="182" spans="1:3" x14ac:dyDescent="0.25">
      <c r="A182" s="1">
        <v>44453</v>
      </c>
      <c r="B182" s="2">
        <v>40841</v>
      </c>
      <c r="C182" s="3">
        <f>(VOO_data[[#This Row],[Último]]/B181)-1</f>
        <v>-5.1882885955083502E-3</v>
      </c>
    </row>
    <row r="183" spans="1:3" x14ac:dyDescent="0.25">
      <c r="A183" s="1">
        <v>44454</v>
      </c>
      <c r="B183" s="2">
        <v>41182</v>
      </c>
      <c r="C183" s="3">
        <f>(VOO_data[[#This Row],[Último]]/B182)-1</f>
        <v>8.3494527558090059E-3</v>
      </c>
    </row>
    <row r="184" spans="1:3" x14ac:dyDescent="0.25">
      <c r="A184" s="1">
        <v>44455</v>
      </c>
      <c r="B184" s="2">
        <v>41111</v>
      </c>
      <c r="C184" s="3">
        <f>(VOO_data[[#This Row],[Último]]/B183)-1</f>
        <v>-1.7240541984362423E-3</v>
      </c>
    </row>
    <row r="185" spans="1:3" x14ac:dyDescent="0.25">
      <c r="A185" s="1">
        <v>44456</v>
      </c>
      <c r="B185" s="2">
        <v>40708</v>
      </c>
      <c r="C185" s="3">
        <f>(VOO_data[[#This Row],[Último]]/B184)-1</f>
        <v>-9.8027291965654406E-3</v>
      </c>
    </row>
    <row r="186" spans="1:3" x14ac:dyDescent="0.25">
      <c r="A186" s="1">
        <v>44459</v>
      </c>
      <c r="B186" s="2">
        <v>40043</v>
      </c>
      <c r="C186" s="3">
        <f>(VOO_data[[#This Row],[Último]]/B185)-1</f>
        <v>-1.6335855360125828E-2</v>
      </c>
    </row>
    <row r="187" spans="1:3" x14ac:dyDescent="0.25">
      <c r="A187" s="1">
        <v>44460</v>
      </c>
      <c r="B187" s="2">
        <v>40004</v>
      </c>
      <c r="C187" s="3">
        <f>(VOO_data[[#This Row],[Último]]/B186)-1</f>
        <v>-9.7395300052438571E-4</v>
      </c>
    </row>
    <row r="188" spans="1:3" x14ac:dyDescent="0.25">
      <c r="A188" s="1">
        <v>44461</v>
      </c>
      <c r="B188" s="2">
        <v>40390</v>
      </c>
      <c r="C188" s="3">
        <f>(VOO_data[[#This Row],[Último]]/B187)-1</f>
        <v>9.6490350964903993E-3</v>
      </c>
    </row>
    <row r="189" spans="1:3" x14ac:dyDescent="0.25">
      <c r="A189" s="1">
        <v>44462</v>
      </c>
      <c r="B189" s="2">
        <v>40878</v>
      </c>
      <c r="C189" s="3">
        <f>(VOO_data[[#This Row],[Último]]/B188)-1</f>
        <v>1.2082198564000945E-2</v>
      </c>
    </row>
    <row r="190" spans="1:3" x14ac:dyDescent="0.25">
      <c r="A190" s="1">
        <v>44463</v>
      </c>
      <c r="B190" s="2">
        <v>40946</v>
      </c>
      <c r="C190" s="3">
        <f>(VOO_data[[#This Row],[Último]]/B189)-1</f>
        <v>1.6634864719409226E-3</v>
      </c>
    </row>
    <row r="191" spans="1:3" x14ac:dyDescent="0.25">
      <c r="A191" s="1">
        <v>44466</v>
      </c>
      <c r="B191" s="2">
        <v>40830</v>
      </c>
      <c r="C191" s="3">
        <f>(VOO_data[[#This Row],[Último]]/B190)-1</f>
        <v>-2.8329995603966207E-3</v>
      </c>
    </row>
    <row r="192" spans="1:3" x14ac:dyDescent="0.25">
      <c r="A192" s="1">
        <v>44467</v>
      </c>
      <c r="B192" s="2">
        <v>40014</v>
      </c>
      <c r="C192" s="3">
        <f>(VOO_data[[#This Row],[Último]]/B191)-1</f>
        <v>-1.9985304922850888E-2</v>
      </c>
    </row>
    <row r="193" spans="1:3" x14ac:dyDescent="0.25">
      <c r="A193" s="1">
        <v>44468</v>
      </c>
      <c r="B193" s="2">
        <v>39946</v>
      </c>
      <c r="C193" s="3">
        <f>(VOO_data[[#This Row],[Último]]/B192)-1</f>
        <v>-1.6994052081771294E-3</v>
      </c>
    </row>
    <row r="194" spans="1:3" x14ac:dyDescent="0.25">
      <c r="A194" s="1">
        <v>44469</v>
      </c>
      <c r="B194" s="2">
        <v>39440</v>
      </c>
      <c r="C194" s="3">
        <f>(VOO_data[[#This Row],[Último]]/B193)-1</f>
        <v>-1.2667100585790791E-2</v>
      </c>
    </row>
    <row r="195" spans="1:3" x14ac:dyDescent="0.25">
      <c r="A195" s="1">
        <v>44470</v>
      </c>
      <c r="B195" s="2">
        <v>39912</v>
      </c>
      <c r="C195" s="3">
        <f>(VOO_data[[#This Row],[Último]]/B194)-1</f>
        <v>1.1967545638945198E-2</v>
      </c>
    </row>
    <row r="196" spans="1:3" x14ac:dyDescent="0.25">
      <c r="A196" s="1">
        <v>44473</v>
      </c>
      <c r="B196" s="2">
        <v>39421</v>
      </c>
      <c r="C196" s="3">
        <f>(VOO_data[[#This Row],[Último]]/B195)-1</f>
        <v>-1.2302064541992341E-2</v>
      </c>
    </row>
    <row r="197" spans="1:3" x14ac:dyDescent="0.25">
      <c r="A197" s="1">
        <v>44474</v>
      </c>
      <c r="B197" s="2">
        <v>39804</v>
      </c>
      <c r="C197" s="3">
        <f>(VOO_data[[#This Row],[Último]]/B196)-1</f>
        <v>9.7156337992441166E-3</v>
      </c>
    </row>
    <row r="198" spans="1:3" x14ac:dyDescent="0.25">
      <c r="A198" s="1">
        <v>44475</v>
      </c>
      <c r="B198" s="2">
        <v>39981</v>
      </c>
      <c r="C198" s="3">
        <f>(VOO_data[[#This Row],[Último]]/B197)-1</f>
        <v>4.4467892674102671E-3</v>
      </c>
    </row>
    <row r="199" spans="1:3" x14ac:dyDescent="0.25">
      <c r="A199" s="1">
        <v>44476</v>
      </c>
      <c r="B199" s="2">
        <v>40325</v>
      </c>
      <c r="C199" s="3">
        <f>(VOO_data[[#This Row],[Último]]/B198)-1</f>
        <v>8.6040869412971066E-3</v>
      </c>
    </row>
    <row r="200" spans="1:3" x14ac:dyDescent="0.25">
      <c r="A200" s="1">
        <v>44477</v>
      </c>
      <c r="B200" s="2">
        <v>40249</v>
      </c>
      <c r="C200" s="3">
        <f>(VOO_data[[#This Row],[Último]]/B199)-1</f>
        <v>-1.8846869187848503E-3</v>
      </c>
    </row>
    <row r="201" spans="1:3" x14ac:dyDescent="0.25">
      <c r="A201" s="1">
        <v>44480</v>
      </c>
      <c r="B201" s="2">
        <v>39956</v>
      </c>
      <c r="C201" s="3">
        <f>(VOO_data[[#This Row],[Último]]/B200)-1</f>
        <v>-7.2796839673034963E-3</v>
      </c>
    </row>
    <row r="202" spans="1:3" x14ac:dyDescent="0.25">
      <c r="A202" s="1">
        <v>44481</v>
      </c>
      <c r="B202" s="2">
        <v>39876</v>
      </c>
      <c r="C202" s="3">
        <f>(VOO_data[[#This Row],[Último]]/B201)-1</f>
        <v>-2.0022024226649116E-3</v>
      </c>
    </row>
    <row r="203" spans="1:3" x14ac:dyDescent="0.25">
      <c r="A203" s="1">
        <v>44482</v>
      </c>
      <c r="B203" s="2">
        <v>40004</v>
      </c>
      <c r="C203" s="3">
        <f>(VOO_data[[#This Row],[Último]]/B202)-1</f>
        <v>3.2099508476275407E-3</v>
      </c>
    </row>
    <row r="204" spans="1:3" x14ac:dyDescent="0.25">
      <c r="A204" s="1">
        <v>44483</v>
      </c>
      <c r="B204" s="2">
        <v>40676</v>
      </c>
      <c r="C204" s="3">
        <f>(VOO_data[[#This Row],[Último]]/B203)-1</f>
        <v>1.6798320167983105E-2</v>
      </c>
    </row>
    <row r="205" spans="1:3" x14ac:dyDescent="0.25">
      <c r="A205" s="1">
        <v>44484</v>
      </c>
      <c r="B205" s="2">
        <v>40993</v>
      </c>
      <c r="C205" s="3">
        <f>(VOO_data[[#This Row],[Último]]/B204)-1</f>
        <v>7.7932933425115536E-3</v>
      </c>
    </row>
    <row r="206" spans="1:3" x14ac:dyDescent="0.25">
      <c r="A206" s="1">
        <v>44487</v>
      </c>
      <c r="B206" s="2">
        <v>41118</v>
      </c>
      <c r="C206" s="3">
        <f>(VOO_data[[#This Row],[Último]]/B205)-1</f>
        <v>3.0493011001877512E-3</v>
      </c>
    </row>
    <row r="207" spans="1:3" x14ac:dyDescent="0.25">
      <c r="A207" s="1">
        <v>44488</v>
      </c>
      <c r="B207" s="2">
        <v>41438</v>
      </c>
      <c r="C207" s="3">
        <f>(VOO_data[[#This Row],[Último]]/B206)-1</f>
        <v>7.7824796925920481E-3</v>
      </c>
    </row>
    <row r="208" spans="1:3" x14ac:dyDescent="0.25">
      <c r="A208" s="1">
        <v>44489</v>
      </c>
      <c r="B208" s="2">
        <v>41599</v>
      </c>
      <c r="C208" s="3">
        <f>(VOO_data[[#This Row],[Último]]/B207)-1</f>
        <v>3.8853226507071792E-3</v>
      </c>
    </row>
    <row r="209" spans="1:3" x14ac:dyDescent="0.25">
      <c r="A209" s="1">
        <v>44490</v>
      </c>
      <c r="B209" s="2">
        <v>41701</v>
      </c>
      <c r="C209" s="3">
        <f>(VOO_data[[#This Row],[Último]]/B208)-1</f>
        <v>2.451982018798482E-3</v>
      </c>
    </row>
    <row r="210" spans="1:3" x14ac:dyDescent="0.25">
      <c r="A210" s="1">
        <v>44491</v>
      </c>
      <c r="B210" s="2">
        <v>41659</v>
      </c>
      <c r="C210" s="3">
        <f>(VOO_data[[#This Row],[Último]]/B209)-1</f>
        <v>-1.0071700918443671E-3</v>
      </c>
    </row>
    <row r="211" spans="1:3" x14ac:dyDescent="0.25">
      <c r="A211" s="1">
        <v>44494</v>
      </c>
      <c r="B211" s="2">
        <v>41875</v>
      </c>
      <c r="C211" s="3">
        <f>(VOO_data[[#This Row],[Último]]/B210)-1</f>
        <v>5.1849540315418441E-3</v>
      </c>
    </row>
    <row r="212" spans="1:3" x14ac:dyDescent="0.25">
      <c r="A212" s="1">
        <v>44495</v>
      </c>
      <c r="B212" s="2">
        <v>41915</v>
      </c>
      <c r="C212" s="3">
        <f>(VOO_data[[#This Row],[Último]]/B211)-1</f>
        <v>9.5522388059698926E-4</v>
      </c>
    </row>
    <row r="213" spans="1:3" x14ac:dyDescent="0.25">
      <c r="A213" s="1">
        <v>44496</v>
      </c>
      <c r="B213" s="2">
        <v>41733</v>
      </c>
      <c r="C213" s="3">
        <f>(VOO_data[[#This Row],[Último]]/B212)-1</f>
        <v>-4.3421209590838172E-3</v>
      </c>
    </row>
    <row r="214" spans="1:3" x14ac:dyDescent="0.25">
      <c r="A214" s="1">
        <v>44497</v>
      </c>
      <c r="B214" s="2">
        <v>42141</v>
      </c>
      <c r="C214" s="3">
        <f>(VOO_data[[#This Row],[Último]]/B213)-1</f>
        <v>9.7764359140248835E-3</v>
      </c>
    </row>
    <row r="215" spans="1:3" x14ac:dyDescent="0.25">
      <c r="A215" s="1">
        <v>44498</v>
      </c>
      <c r="B215" s="2">
        <v>42216</v>
      </c>
      <c r="C215" s="3">
        <f>(VOO_data[[#This Row],[Último]]/B214)-1</f>
        <v>1.7797394461451788E-3</v>
      </c>
    </row>
    <row r="216" spans="1:3" x14ac:dyDescent="0.25">
      <c r="A216" s="1">
        <v>44501</v>
      </c>
      <c r="B216" s="2">
        <v>42305</v>
      </c>
      <c r="C216" s="3">
        <f>(VOO_data[[#This Row],[Último]]/B215)-1</f>
        <v>2.1082054197461009E-3</v>
      </c>
    </row>
    <row r="217" spans="1:3" x14ac:dyDescent="0.25">
      <c r="A217" s="1">
        <v>44502</v>
      </c>
      <c r="B217" s="2">
        <v>42469</v>
      </c>
      <c r="C217" s="3">
        <f>(VOO_data[[#This Row],[Último]]/B216)-1</f>
        <v>3.8766103297482868E-3</v>
      </c>
    </row>
    <row r="218" spans="1:3" x14ac:dyDescent="0.25">
      <c r="A218" s="1">
        <v>44503</v>
      </c>
      <c r="B218" s="2">
        <v>42725</v>
      </c>
      <c r="C218" s="3">
        <f>(VOO_data[[#This Row],[Último]]/B217)-1</f>
        <v>6.0279262520896992E-3</v>
      </c>
    </row>
    <row r="219" spans="1:3" x14ac:dyDescent="0.25">
      <c r="A219" s="1">
        <v>44504</v>
      </c>
      <c r="B219" s="2">
        <v>42925</v>
      </c>
      <c r="C219" s="3">
        <f>(VOO_data[[#This Row],[Último]]/B218)-1</f>
        <v>4.681100058513854E-3</v>
      </c>
    </row>
    <row r="220" spans="1:3" x14ac:dyDescent="0.25">
      <c r="A220" s="1">
        <v>44505</v>
      </c>
      <c r="B220" s="2">
        <v>43071</v>
      </c>
      <c r="C220" s="3">
        <f>(VOO_data[[#This Row],[Último]]/B219)-1</f>
        <v>3.4012813046011559E-3</v>
      </c>
    </row>
    <row r="221" spans="1:3" x14ac:dyDescent="0.25">
      <c r="A221" s="1">
        <v>44508</v>
      </c>
      <c r="B221" s="2">
        <v>43123</v>
      </c>
      <c r="C221" s="3">
        <f>(VOO_data[[#This Row],[Último]]/B220)-1</f>
        <v>1.2073088621114003E-3</v>
      </c>
    </row>
    <row r="222" spans="1:3" x14ac:dyDescent="0.25">
      <c r="A222" s="1">
        <v>44509</v>
      </c>
      <c r="B222" s="2">
        <v>42972</v>
      </c>
      <c r="C222" s="3">
        <f>(VOO_data[[#This Row],[Último]]/B221)-1</f>
        <v>-3.5016116689469134E-3</v>
      </c>
    </row>
    <row r="223" spans="1:3" x14ac:dyDescent="0.25">
      <c r="A223" s="1">
        <v>44510</v>
      </c>
      <c r="B223" s="2">
        <v>42626</v>
      </c>
      <c r="C223" s="3">
        <f>(VOO_data[[#This Row],[Último]]/B222)-1</f>
        <v>-8.0517546309224475E-3</v>
      </c>
    </row>
    <row r="224" spans="1:3" x14ac:dyDescent="0.25">
      <c r="A224" s="1">
        <v>44511</v>
      </c>
      <c r="B224" s="2">
        <v>42640</v>
      </c>
      <c r="C224" s="3">
        <f>(VOO_data[[#This Row],[Último]]/B223)-1</f>
        <v>3.2843804250926034E-4</v>
      </c>
    </row>
    <row r="225" spans="1:3" x14ac:dyDescent="0.25">
      <c r="A225" s="1">
        <v>44512</v>
      </c>
      <c r="B225" s="2">
        <v>42957</v>
      </c>
      <c r="C225" s="3">
        <f>(VOO_data[[#This Row],[Último]]/B224)-1</f>
        <v>7.4343339587241708E-3</v>
      </c>
    </row>
    <row r="226" spans="1:3" x14ac:dyDescent="0.25">
      <c r="A226" s="1">
        <v>44515</v>
      </c>
      <c r="B226" s="2">
        <v>42977</v>
      </c>
      <c r="C226" s="3">
        <f>(VOO_data[[#This Row],[Último]]/B225)-1</f>
        <v>4.655818609307083E-4</v>
      </c>
    </row>
    <row r="227" spans="1:3" x14ac:dyDescent="0.25">
      <c r="A227" s="1">
        <v>44516</v>
      </c>
      <c r="B227" s="2">
        <v>43141</v>
      </c>
      <c r="C227" s="3">
        <f>(VOO_data[[#This Row],[Último]]/B226)-1</f>
        <v>3.8159946017637392E-3</v>
      </c>
    </row>
    <row r="228" spans="1:3" x14ac:dyDescent="0.25">
      <c r="A228" s="1">
        <v>44517</v>
      </c>
      <c r="B228" s="2">
        <v>43037</v>
      </c>
      <c r="C228" s="3">
        <f>(VOO_data[[#This Row],[Último]]/B227)-1</f>
        <v>-2.410699798335636E-3</v>
      </c>
    </row>
    <row r="229" spans="1:3" x14ac:dyDescent="0.25">
      <c r="A229" s="1">
        <v>44518</v>
      </c>
      <c r="B229" s="2">
        <v>43186</v>
      </c>
      <c r="C229" s="3">
        <f>(VOO_data[[#This Row],[Último]]/B228)-1</f>
        <v>3.4621372307548359E-3</v>
      </c>
    </row>
    <row r="230" spans="1:3" x14ac:dyDescent="0.25">
      <c r="A230" s="1">
        <v>44519</v>
      </c>
      <c r="B230" s="2">
        <v>43105</v>
      </c>
      <c r="C230" s="3">
        <f>(VOO_data[[#This Row],[Último]]/B229)-1</f>
        <v>-1.8756078358727057E-3</v>
      </c>
    </row>
    <row r="231" spans="1:3" x14ac:dyDescent="0.25">
      <c r="A231" s="1">
        <v>44522</v>
      </c>
      <c r="B231" s="2">
        <v>42991</v>
      </c>
      <c r="C231" s="3">
        <f>(VOO_data[[#This Row],[Último]]/B230)-1</f>
        <v>-2.6447047906275056E-3</v>
      </c>
    </row>
    <row r="232" spans="1:3" x14ac:dyDescent="0.25">
      <c r="A232" s="1">
        <v>44523</v>
      </c>
      <c r="B232" s="2">
        <v>43047</v>
      </c>
      <c r="C232" s="3">
        <f>(VOO_data[[#This Row],[Último]]/B231)-1</f>
        <v>1.3025982182317541E-3</v>
      </c>
    </row>
    <row r="233" spans="1:3" x14ac:dyDescent="0.25">
      <c r="A233" s="1">
        <v>44524</v>
      </c>
      <c r="B233" s="2">
        <v>43153</v>
      </c>
      <c r="C233" s="3">
        <f>(VOO_data[[#This Row],[Último]]/B232)-1</f>
        <v>2.4624247915070452E-3</v>
      </c>
    </row>
    <row r="234" spans="1:3" x14ac:dyDescent="0.25">
      <c r="A234" s="1">
        <v>44526</v>
      </c>
      <c r="B234" s="2">
        <v>42214</v>
      </c>
      <c r="C234" s="3">
        <f>(VOO_data[[#This Row],[Último]]/B233)-1</f>
        <v>-2.1759784951220107E-2</v>
      </c>
    </row>
    <row r="235" spans="1:3" x14ac:dyDescent="0.25">
      <c r="A235" s="1">
        <v>44529</v>
      </c>
      <c r="B235" s="2">
        <v>42724</v>
      </c>
      <c r="C235" s="3">
        <f>(VOO_data[[#This Row],[Último]]/B234)-1</f>
        <v>1.2081300042639853E-2</v>
      </c>
    </row>
    <row r="236" spans="1:3" x14ac:dyDescent="0.25">
      <c r="A236" s="1">
        <v>44530</v>
      </c>
      <c r="B236" s="2">
        <v>41906</v>
      </c>
      <c r="C236" s="3">
        <f>(VOO_data[[#This Row],[Último]]/B235)-1</f>
        <v>-1.9146147364478949E-2</v>
      </c>
    </row>
    <row r="237" spans="1:3" x14ac:dyDescent="0.25">
      <c r="A237" s="1">
        <v>44531</v>
      </c>
      <c r="B237" s="2">
        <v>41424</v>
      </c>
      <c r="C237" s="3">
        <f>(VOO_data[[#This Row],[Último]]/B236)-1</f>
        <v>-1.1501932897437173E-2</v>
      </c>
    </row>
    <row r="238" spans="1:3" x14ac:dyDescent="0.25">
      <c r="A238" s="1">
        <v>44532</v>
      </c>
      <c r="B238" s="2">
        <v>42056</v>
      </c>
      <c r="C238" s="3">
        <f>(VOO_data[[#This Row],[Último]]/B237)-1</f>
        <v>1.5256855928930113E-2</v>
      </c>
    </row>
    <row r="239" spans="1:3" x14ac:dyDescent="0.25">
      <c r="A239" s="1">
        <v>44533</v>
      </c>
      <c r="B239" s="2">
        <v>41684</v>
      </c>
      <c r="C239" s="3">
        <f>(VOO_data[[#This Row],[Último]]/B238)-1</f>
        <v>-8.8453490583982886E-3</v>
      </c>
    </row>
    <row r="240" spans="1:3" x14ac:dyDescent="0.25">
      <c r="A240" s="1">
        <v>44536</v>
      </c>
      <c r="B240" s="2">
        <v>42182</v>
      </c>
      <c r="C240" s="3">
        <f>(VOO_data[[#This Row],[Último]]/B239)-1</f>
        <v>1.1947030035505124E-2</v>
      </c>
    </row>
    <row r="241" spans="1:3" x14ac:dyDescent="0.25">
      <c r="A241" s="1">
        <v>44537</v>
      </c>
      <c r="B241" s="2">
        <v>43049</v>
      </c>
      <c r="C241" s="3">
        <f>(VOO_data[[#This Row],[Último]]/B240)-1</f>
        <v>2.0553790716419273E-2</v>
      </c>
    </row>
    <row r="242" spans="1:3" x14ac:dyDescent="0.25">
      <c r="A242" s="1">
        <v>44538</v>
      </c>
      <c r="B242" s="2">
        <v>43170</v>
      </c>
      <c r="C242" s="3">
        <f>(VOO_data[[#This Row],[Último]]/B241)-1</f>
        <v>2.8107505400822852E-3</v>
      </c>
    </row>
    <row r="243" spans="1:3" x14ac:dyDescent="0.25">
      <c r="A243" s="1">
        <v>44539</v>
      </c>
      <c r="B243" s="2">
        <v>42876</v>
      </c>
      <c r="C243" s="3">
        <f>(VOO_data[[#This Row],[Último]]/B242)-1</f>
        <v>-6.8102849200833981E-3</v>
      </c>
    </row>
    <row r="244" spans="1:3" x14ac:dyDescent="0.25">
      <c r="A244" s="1">
        <v>44540</v>
      </c>
      <c r="B244" s="2">
        <v>43285</v>
      </c>
      <c r="C244" s="3">
        <f>(VOO_data[[#This Row],[Último]]/B243)-1</f>
        <v>9.5391361134433694E-3</v>
      </c>
    </row>
    <row r="245" spans="1:3" x14ac:dyDescent="0.25">
      <c r="A245" s="1">
        <v>44543</v>
      </c>
      <c r="B245" s="2">
        <v>42901</v>
      </c>
      <c r="C245" s="3">
        <f>(VOO_data[[#This Row],[Último]]/B244)-1</f>
        <v>-8.8714335220053675E-3</v>
      </c>
    </row>
    <row r="246" spans="1:3" x14ac:dyDescent="0.25">
      <c r="A246" s="1">
        <v>44544</v>
      </c>
      <c r="B246" s="2">
        <v>42609</v>
      </c>
      <c r="C246" s="3">
        <f>(VOO_data[[#This Row],[Último]]/B245)-1</f>
        <v>-6.8063681499265227E-3</v>
      </c>
    </row>
    <row r="247" spans="1:3" x14ac:dyDescent="0.25">
      <c r="A247" s="1">
        <v>44545</v>
      </c>
      <c r="B247" s="2">
        <v>43275</v>
      </c>
      <c r="C247" s="3">
        <f>(VOO_data[[#This Row],[Último]]/B246)-1</f>
        <v>1.5630500598465158E-2</v>
      </c>
    </row>
    <row r="248" spans="1:3" x14ac:dyDescent="0.25">
      <c r="A248" s="1">
        <v>44546</v>
      </c>
      <c r="B248" s="2">
        <v>42884</v>
      </c>
      <c r="C248" s="3">
        <f>(VOO_data[[#This Row],[Último]]/B247)-1</f>
        <v>-9.0352397458116629E-3</v>
      </c>
    </row>
    <row r="249" spans="1:3" x14ac:dyDescent="0.25">
      <c r="A249" s="1">
        <v>44547</v>
      </c>
      <c r="B249" s="2">
        <v>42439</v>
      </c>
      <c r="C249" s="3">
        <f>(VOO_data[[#This Row],[Último]]/B248)-1</f>
        <v>-1.037683051954108E-2</v>
      </c>
    </row>
    <row r="250" spans="1:3" x14ac:dyDescent="0.25">
      <c r="A250" s="1">
        <v>44550</v>
      </c>
      <c r="B250" s="2">
        <v>41980</v>
      </c>
      <c r="C250" s="3">
        <f>(VOO_data[[#This Row],[Último]]/B249)-1</f>
        <v>-1.0815523457197385E-2</v>
      </c>
    </row>
    <row r="251" spans="1:3" x14ac:dyDescent="0.25">
      <c r="A251" s="1">
        <v>44551</v>
      </c>
      <c r="B251" s="2">
        <v>42569</v>
      </c>
      <c r="C251" s="3">
        <f>(VOO_data[[#This Row],[Último]]/B250)-1</f>
        <v>1.4030490709861843E-2</v>
      </c>
    </row>
    <row r="252" spans="1:3" x14ac:dyDescent="0.25">
      <c r="A252" s="1">
        <v>44552</v>
      </c>
      <c r="B252" s="2">
        <v>42999</v>
      </c>
      <c r="C252" s="3">
        <f>(VOO_data[[#This Row],[Último]]/B251)-1</f>
        <v>1.0101247386595791E-2</v>
      </c>
    </row>
    <row r="253" spans="1:3" x14ac:dyDescent="0.25">
      <c r="A253" s="1">
        <v>44553</v>
      </c>
      <c r="B253" s="2">
        <v>43264</v>
      </c>
      <c r="C253" s="3">
        <f>(VOO_data[[#This Row],[Último]]/B252)-1</f>
        <v>6.1629340217215223E-3</v>
      </c>
    </row>
    <row r="254" spans="1:3" x14ac:dyDescent="0.25">
      <c r="A254" s="1">
        <v>44557</v>
      </c>
      <c r="B254" s="2">
        <v>43881</v>
      </c>
      <c r="C254" s="3">
        <f>(VOO_data[[#This Row],[Último]]/B253)-1</f>
        <v>1.4261279585798814E-2</v>
      </c>
    </row>
    <row r="255" spans="1:3" x14ac:dyDescent="0.25">
      <c r="A255" s="1">
        <v>44558</v>
      </c>
      <c r="B255" s="2">
        <v>43848</v>
      </c>
      <c r="C255" s="3">
        <f>(VOO_data[[#This Row],[Último]]/B254)-1</f>
        <v>-7.5203390989264651E-4</v>
      </c>
    </row>
    <row r="256" spans="1:3" x14ac:dyDescent="0.25">
      <c r="A256" s="1">
        <v>44559</v>
      </c>
      <c r="B256" s="2">
        <v>43901</v>
      </c>
      <c r="C256" s="3">
        <f>(VOO_data[[#This Row],[Último]]/B255)-1</f>
        <v>1.2087210363072032E-3</v>
      </c>
    </row>
    <row r="257" spans="1:3" x14ac:dyDescent="0.25">
      <c r="A257" s="1">
        <v>44560</v>
      </c>
      <c r="B257" s="2">
        <v>43777</v>
      </c>
      <c r="C257" s="3">
        <f>(VOO_data[[#This Row],[Último]]/B256)-1</f>
        <v>-2.824537026491436E-3</v>
      </c>
    </row>
    <row r="258" spans="1:3" x14ac:dyDescent="0.25">
      <c r="A258" s="1">
        <v>44561</v>
      </c>
      <c r="B258" s="2">
        <v>43657</v>
      </c>
      <c r="C258" s="3">
        <f>(VOO_data[[#This Row],[Último]]/B257)-1</f>
        <v>-2.7411654521780626E-3</v>
      </c>
    </row>
    <row r="259" spans="1:3" x14ac:dyDescent="0.25">
      <c r="A259" s="1">
        <v>44564</v>
      </c>
      <c r="B259" s="2">
        <v>43925</v>
      </c>
      <c r="C259" s="3">
        <f>(VOO_data[[#This Row],[Último]]/B258)-1</f>
        <v>6.1387635430745213E-3</v>
      </c>
    </row>
    <row r="260" spans="1:3" x14ac:dyDescent="0.25">
      <c r="A260" s="1">
        <v>44565</v>
      </c>
      <c r="B260" s="2">
        <v>43907</v>
      </c>
      <c r="C260" s="3">
        <f>(VOO_data[[#This Row],[Último]]/B259)-1</f>
        <v>-4.0978941377345368E-4</v>
      </c>
    </row>
    <row r="261" spans="1:3" x14ac:dyDescent="0.25">
      <c r="A261" s="1">
        <v>44566</v>
      </c>
      <c r="B261" s="2">
        <v>43066</v>
      </c>
      <c r="C261" s="3">
        <f>(VOO_data[[#This Row],[Último]]/B260)-1</f>
        <v>-1.9154121210740893E-2</v>
      </c>
    </row>
    <row r="262" spans="1:3" x14ac:dyDescent="0.25">
      <c r="A262" s="1">
        <v>44567</v>
      </c>
      <c r="B262" s="2">
        <v>43008</v>
      </c>
      <c r="C262" s="3">
        <f>(VOO_data[[#This Row],[Último]]/B261)-1</f>
        <v>-1.3467700738400978E-3</v>
      </c>
    </row>
    <row r="263" spans="1:3" x14ac:dyDescent="0.25">
      <c r="A263" s="1">
        <v>44568</v>
      </c>
      <c r="B263" s="2">
        <v>42859</v>
      </c>
      <c r="C263" s="3">
        <f>(VOO_data[[#This Row],[Último]]/B262)-1</f>
        <v>-3.4644717261904656E-3</v>
      </c>
    </row>
    <row r="264" spans="1:3" x14ac:dyDescent="0.25">
      <c r="A264" s="1">
        <v>44571</v>
      </c>
      <c r="B264" s="2">
        <v>42803</v>
      </c>
      <c r="C264" s="3">
        <f>(VOO_data[[#This Row],[Último]]/B263)-1</f>
        <v>-1.3066100468979158E-3</v>
      </c>
    </row>
    <row r="265" spans="1:3" x14ac:dyDescent="0.25">
      <c r="A265" s="1">
        <v>44572</v>
      </c>
      <c r="B265" s="2">
        <v>43178</v>
      </c>
      <c r="C265" s="3">
        <f>(VOO_data[[#This Row],[Último]]/B264)-1</f>
        <v>8.7610681494287856E-3</v>
      </c>
    </row>
    <row r="266" spans="1:3" x14ac:dyDescent="0.25">
      <c r="A266" s="1">
        <v>44573</v>
      </c>
      <c r="B266" s="2">
        <v>43307</v>
      </c>
      <c r="C266" s="3">
        <f>(VOO_data[[#This Row],[Último]]/B265)-1</f>
        <v>2.987632590671252E-3</v>
      </c>
    </row>
    <row r="267" spans="1:3" x14ac:dyDescent="0.25">
      <c r="A267" s="1">
        <v>44574</v>
      </c>
      <c r="B267" s="2">
        <v>42710</v>
      </c>
      <c r="C267" s="3">
        <f>(VOO_data[[#This Row],[Último]]/B266)-1</f>
        <v>-1.3785300297873282E-2</v>
      </c>
    </row>
    <row r="268" spans="1:3" x14ac:dyDescent="0.25">
      <c r="A268" s="1">
        <v>44575</v>
      </c>
      <c r="B268" s="2">
        <v>42723</v>
      </c>
      <c r="C268" s="3">
        <f>(VOO_data[[#This Row],[Último]]/B267)-1</f>
        <v>3.0437836572239085E-4</v>
      </c>
    </row>
    <row r="269" spans="1:3" x14ac:dyDescent="0.25">
      <c r="A269" s="1">
        <v>44579</v>
      </c>
      <c r="B269" s="2">
        <v>41974</v>
      </c>
      <c r="C269" s="3">
        <f>(VOO_data[[#This Row],[Último]]/B268)-1</f>
        <v>-1.7531540388081357E-2</v>
      </c>
    </row>
    <row r="270" spans="1:3" x14ac:dyDescent="0.25">
      <c r="A270" s="1">
        <v>44580</v>
      </c>
      <c r="B270" s="2">
        <v>41533</v>
      </c>
      <c r="C270" s="3">
        <f>(VOO_data[[#This Row],[Último]]/B269)-1</f>
        <v>-1.0506504026302044E-2</v>
      </c>
    </row>
    <row r="271" spans="1:3" x14ac:dyDescent="0.25">
      <c r="A271" s="1">
        <v>44581</v>
      </c>
      <c r="B271" s="2">
        <v>41076</v>
      </c>
      <c r="C271" s="3">
        <f>(VOO_data[[#This Row],[Último]]/B270)-1</f>
        <v>-1.1003298581850562E-2</v>
      </c>
    </row>
    <row r="272" spans="1:3" x14ac:dyDescent="0.25">
      <c r="A272" s="1">
        <v>44582</v>
      </c>
      <c r="B272" s="2">
        <v>40269</v>
      </c>
      <c r="C272" s="3">
        <f>(VOO_data[[#This Row],[Último]]/B271)-1</f>
        <v>-1.964650891031261E-2</v>
      </c>
    </row>
    <row r="273" spans="1:3" x14ac:dyDescent="0.25">
      <c r="A273" s="1">
        <v>44585</v>
      </c>
      <c r="B273" s="2">
        <v>40437</v>
      </c>
      <c r="C273" s="3">
        <f>(VOO_data[[#This Row],[Último]]/B272)-1</f>
        <v>4.1719436787603925E-3</v>
      </c>
    </row>
    <row r="274" spans="1:3" x14ac:dyDescent="0.25">
      <c r="A274" s="1">
        <v>44586</v>
      </c>
      <c r="B274" s="2">
        <v>39946</v>
      </c>
      <c r="C274" s="3">
        <f>(VOO_data[[#This Row],[Último]]/B273)-1</f>
        <v>-1.214234488216237E-2</v>
      </c>
    </row>
    <row r="275" spans="1:3" x14ac:dyDescent="0.25">
      <c r="A275" s="1">
        <v>44587</v>
      </c>
      <c r="B275" s="2">
        <v>39856</v>
      </c>
      <c r="C275" s="3">
        <f>(VOO_data[[#This Row],[Último]]/B274)-1</f>
        <v>-2.2530416061683489E-3</v>
      </c>
    </row>
    <row r="276" spans="1:3" x14ac:dyDescent="0.25">
      <c r="A276" s="1">
        <v>44588</v>
      </c>
      <c r="B276" s="2">
        <v>39654</v>
      </c>
      <c r="C276" s="3">
        <f>(VOO_data[[#This Row],[Último]]/B275)-1</f>
        <v>-5.0682456844640678E-3</v>
      </c>
    </row>
    <row r="277" spans="1:3" x14ac:dyDescent="0.25">
      <c r="A277" s="1">
        <v>44589</v>
      </c>
      <c r="B277" s="2">
        <v>40626</v>
      </c>
      <c r="C277" s="3">
        <f>(VOO_data[[#This Row],[Último]]/B276)-1</f>
        <v>2.4512029051293682E-2</v>
      </c>
    </row>
    <row r="278" spans="1:3" x14ac:dyDescent="0.25">
      <c r="A278" s="1">
        <v>44592</v>
      </c>
      <c r="B278" s="2">
        <v>41369</v>
      </c>
      <c r="C278" s="3">
        <f>(VOO_data[[#This Row],[Último]]/B277)-1</f>
        <v>1.8288780583862518E-2</v>
      </c>
    </row>
    <row r="279" spans="1:3" x14ac:dyDescent="0.25">
      <c r="A279" s="1">
        <v>44593</v>
      </c>
      <c r="B279" s="2">
        <v>41639</v>
      </c>
      <c r="C279" s="3">
        <f>(VOO_data[[#This Row],[Último]]/B278)-1</f>
        <v>6.5266262176992829E-3</v>
      </c>
    </row>
    <row r="280" spans="1:3" x14ac:dyDescent="0.25">
      <c r="A280" s="1">
        <v>44594</v>
      </c>
      <c r="B280" s="2">
        <v>42036</v>
      </c>
      <c r="C280" s="3">
        <f>(VOO_data[[#This Row],[Último]]/B279)-1</f>
        <v>9.5343307956483603E-3</v>
      </c>
    </row>
    <row r="281" spans="1:3" x14ac:dyDescent="0.25">
      <c r="A281" s="1">
        <v>44595</v>
      </c>
      <c r="B281" s="2">
        <v>41059</v>
      </c>
      <c r="C281" s="3">
        <f>(VOO_data[[#This Row],[Último]]/B280)-1</f>
        <v>-2.3241983062137206E-2</v>
      </c>
    </row>
    <row r="282" spans="1:3" x14ac:dyDescent="0.25">
      <c r="A282" s="1">
        <v>44596</v>
      </c>
      <c r="B282" s="2">
        <v>41252</v>
      </c>
      <c r="C282" s="3">
        <f>(VOO_data[[#This Row],[Último]]/B281)-1</f>
        <v>4.7005528629533444E-3</v>
      </c>
    </row>
    <row r="283" spans="1:3" x14ac:dyDescent="0.25">
      <c r="A283" s="1">
        <v>44599</v>
      </c>
      <c r="B283" s="2">
        <v>41116</v>
      </c>
      <c r="C283" s="3">
        <f>(VOO_data[[#This Row],[Último]]/B282)-1</f>
        <v>-3.2968098516436006E-3</v>
      </c>
    </row>
    <row r="284" spans="1:3" x14ac:dyDescent="0.25">
      <c r="A284" s="1">
        <v>44600</v>
      </c>
      <c r="B284" s="2">
        <v>41449</v>
      </c>
      <c r="C284" s="3">
        <f>(VOO_data[[#This Row],[Último]]/B283)-1</f>
        <v>8.0990368712909877E-3</v>
      </c>
    </row>
    <row r="285" spans="1:3" x14ac:dyDescent="0.25">
      <c r="A285" s="1">
        <v>44601</v>
      </c>
      <c r="B285" s="2">
        <v>42057</v>
      </c>
      <c r="C285" s="3">
        <f>(VOO_data[[#This Row],[Último]]/B284)-1</f>
        <v>1.4668628917464899E-2</v>
      </c>
    </row>
    <row r="286" spans="1:3" x14ac:dyDescent="0.25">
      <c r="A286" s="1">
        <v>44602</v>
      </c>
      <c r="B286" s="2">
        <v>41318</v>
      </c>
      <c r="C286" s="3">
        <f>(VOO_data[[#This Row],[Último]]/B285)-1</f>
        <v>-1.7571391207171216E-2</v>
      </c>
    </row>
    <row r="287" spans="1:3" x14ac:dyDescent="0.25">
      <c r="A287" s="1">
        <v>44603</v>
      </c>
      <c r="B287" s="2">
        <v>40494</v>
      </c>
      <c r="C287" s="3">
        <f>(VOO_data[[#This Row],[Último]]/B286)-1</f>
        <v>-1.9942882036884657E-2</v>
      </c>
    </row>
    <row r="288" spans="1:3" x14ac:dyDescent="0.25">
      <c r="A288" s="1">
        <v>44606</v>
      </c>
      <c r="B288" s="2">
        <v>40362</v>
      </c>
      <c r="C288" s="3">
        <f>(VOO_data[[#This Row],[Último]]/B287)-1</f>
        <v>-3.2597421840272478E-3</v>
      </c>
    </row>
    <row r="289" spans="1:3" x14ac:dyDescent="0.25">
      <c r="A289" s="1">
        <v>44607</v>
      </c>
      <c r="B289" s="2">
        <v>41010</v>
      </c>
      <c r="C289" s="3">
        <f>(VOO_data[[#This Row],[Último]]/B288)-1</f>
        <v>1.6054704920469787E-2</v>
      </c>
    </row>
    <row r="290" spans="1:3" x14ac:dyDescent="0.25">
      <c r="A290" s="1">
        <v>44608</v>
      </c>
      <c r="B290" s="2">
        <v>41059</v>
      </c>
      <c r="C290" s="3">
        <f>(VOO_data[[#This Row],[Último]]/B289)-1</f>
        <v>1.194830529139157E-3</v>
      </c>
    </row>
    <row r="291" spans="1:3" x14ac:dyDescent="0.25">
      <c r="A291" s="1">
        <v>44609</v>
      </c>
      <c r="B291" s="2">
        <v>40186</v>
      </c>
      <c r="C291" s="3">
        <f>(VOO_data[[#This Row],[Último]]/B290)-1</f>
        <v>-2.1262086266104818E-2</v>
      </c>
    </row>
    <row r="292" spans="1:3" x14ac:dyDescent="0.25">
      <c r="A292" s="1">
        <v>44610</v>
      </c>
      <c r="B292" s="2">
        <v>39929</v>
      </c>
      <c r="C292" s="3">
        <f>(VOO_data[[#This Row],[Último]]/B291)-1</f>
        <v>-6.3952620315532727E-3</v>
      </c>
    </row>
    <row r="293" spans="1:3" x14ac:dyDescent="0.25">
      <c r="A293" s="1">
        <v>44614</v>
      </c>
      <c r="B293" s="2">
        <v>39492</v>
      </c>
      <c r="C293" s="3">
        <f>(VOO_data[[#This Row],[Último]]/B292)-1</f>
        <v>-1.0944426356783277E-2</v>
      </c>
    </row>
    <row r="294" spans="1:3" x14ac:dyDescent="0.25">
      <c r="A294" s="1">
        <v>44615</v>
      </c>
      <c r="B294" s="2">
        <v>38781</v>
      </c>
      <c r="C294" s="3">
        <f>(VOO_data[[#This Row],[Último]]/B293)-1</f>
        <v>-1.8003646308113019E-2</v>
      </c>
    </row>
    <row r="295" spans="1:3" x14ac:dyDescent="0.25">
      <c r="A295" s="1">
        <v>44616</v>
      </c>
      <c r="B295" s="2">
        <v>39377</v>
      </c>
      <c r="C295" s="3">
        <f>(VOO_data[[#This Row],[Último]]/B294)-1</f>
        <v>1.5368350480905679E-2</v>
      </c>
    </row>
    <row r="296" spans="1:3" x14ac:dyDescent="0.25">
      <c r="A296" s="1">
        <v>44617</v>
      </c>
      <c r="B296" s="2">
        <v>40237</v>
      </c>
      <c r="C296" s="3">
        <f>(VOO_data[[#This Row],[Último]]/B295)-1</f>
        <v>2.1840160499784211E-2</v>
      </c>
    </row>
    <row r="297" spans="1:3" x14ac:dyDescent="0.25">
      <c r="A297" s="1">
        <v>44620</v>
      </c>
      <c r="B297" s="2">
        <v>40136</v>
      </c>
      <c r="C297" s="3">
        <f>(VOO_data[[#This Row],[Último]]/B296)-1</f>
        <v>-2.5101274945945606E-3</v>
      </c>
    </row>
    <row r="298" spans="1:3" x14ac:dyDescent="0.25">
      <c r="A298" s="1">
        <v>44621</v>
      </c>
      <c r="B298" s="2">
        <v>39534</v>
      </c>
      <c r="C298" s="3">
        <f>(VOO_data[[#This Row],[Último]]/B297)-1</f>
        <v>-1.4999003388479148E-2</v>
      </c>
    </row>
    <row r="299" spans="1:3" x14ac:dyDescent="0.25">
      <c r="A299" s="1">
        <v>44622</v>
      </c>
      <c r="B299" s="2">
        <v>40260</v>
      </c>
      <c r="C299" s="3">
        <f>(VOO_data[[#This Row],[Último]]/B298)-1</f>
        <v>1.8363939899832982E-2</v>
      </c>
    </row>
    <row r="300" spans="1:3" x14ac:dyDescent="0.25">
      <c r="A300" s="1">
        <v>44623</v>
      </c>
      <c r="B300" s="2">
        <v>40058</v>
      </c>
      <c r="C300" s="3">
        <f>(VOO_data[[#This Row],[Último]]/B299)-1</f>
        <v>-5.0173869846000807E-3</v>
      </c>
    </row>
    <row r="301" spans="1:3" x14ac:dyDescent="0.25">
      <c r="A301" s="1">
        <v>44624</v>
      </c>
      <c r="B301" s="2">
        <v>39734</v>
      </c>
      <c r="C301" s="3">
        <f>(VOO_data[[#This Row],[Último]]/B300)-1</f>
        <v>-8.0882720055919233E-3</v>
      </c>
    </row>
    <row r="302" spans="1:3" x14ac:dyDescent="0.25">
      <c r="A302" s="1">
        <v>44627</v>
      </c>
      <c r="B302" s="2">
        <v>38561</v>
      </c>
      <c r="C302" s="3">
        <f>(VOO_data[[#This Row],[Último]]/B301)-1</f>
        <v>-2.9521316756430216E-2</v>
      </c>
    </row>
    <row r="303" spans="1:3" x14ac:dyDescent="0.25">
      <c r="A303" s="1">
        <v>44628</v>
      </c>
      <c r="B303" s="2">
        <v>38270</v>
      </c>
      <c r="C303" s="3">
        <f>(VOO_data[[#This Row],[Último]]/B302)-1</f>
        <v>-7.546484790332153E-3</v>
      </c>
    </row>
    <row r="304" spans="1:3" x14ac:dyDescent="0.25">
      <c r="A304" s="1">
        <v>44629</v>
      </c>
      <c r="B304" s="2">
        <v>39290</v>
      </c>
      <c r="C304" s="3">
        <f>(VOO_data[[#This Row],[Último]]/B303)-1</f>
        <v>2.6652730598379915E-2</v>
      </c>
    </row>
    <row r="305" spans="1:3" x14ac:dyDescent="0.25">
      <c r="A305" s="1">
        <v>44630</v>
      </c>
      <c r="B305" s="2">
        <v>39115</v>
      </c>
      <c r="C305" s="3">
        <f>(VOO_data[[#This Row],[Último]]/B304)-1</f>
        <v>-4.4540595571391783E-3</v>
      </c>
    </row>
    <row r="306" spans="1:3" x14ac:dyDescent="0.25">
      <c r="A306" s="1">
        <v>44631</v>
      </c>
      <c r="B306" s="2">
        <v>38616</v>
      </c>
      <c r="C306" s="3">
        <f>(VOO_data[[#This Row],[Último]]/B305)-1</f>
        <v>-1.275725425028762E-2</v>
      </c>
    </row>
    <row r="307" spans="1:3" x14ac:dyDescent="0.25">
      <c r="A307" s="1">
        <v>44634</v>
      </c>
      <c r="B307" s="2">
        <v>38334</v>
      </c>
      <c r="C307" s="3">
        <f>(VOO_data[[#This Row],[Último]]/B306)-1</f>
        <v>-7.3026724673710408E-3</v>
      </c>
    </row>
    <row r="308" spans="1:3" x14ac:dyDescent="0.25">
      <c r="A308" s="1">
        <v>44635</v>
      </c>
      <c r="B308" s="2">
        <v>39175</v>
      </c>
      <c r="C308" s="3">
        <f>(VOO_data[[#This Row],[Último]]/B307)-1</f>
        <v>2.1938748891323634E-2</v>
      </c>
    </row>
    <row r="309" spans="1:3" x14ac:dyDescent="0.25">
      <c r="A309" s="1">
        <v>44636</v>
      </c>
      <c r="B309" s="2">
        <v>40051</v>
      </c>
      <c r="C309" s="3">
        <f>(VOO_data[[#This Row],[Último]]/B308)-1</f>
        <v>2.2361199744735272E-2</v>
      </c>
    </row>
    <row r="310" spans="1:3" x14ac:dyDescent="0.25">
      <c r="A310" s="1">
        <v>44637</v>
      </c>
      <c r="B310" s="2">
        <v>40541</v>
      </c>
      <c r="C310" s="3">
        <f>(VOO_data[[#This Row],[Último]]/B309)-1</f>
        <v>1.2234401138548456E-2</v>
      </c>
    </row>
    <row r="311" spans="1:3" x14ac:dyDescent="0.25">
      <c r="A311" s="1">
        <v>44638</v>
      </c>
      <c r="B311" s="2">
        <v>40989</v>
      </c>
      <c r="C311" s="3">
        <f>(VOO_data[[#This Row],[Último]]/B310)-1</f>
        <v>1.105054142719708E-2</v>
      </c>
    </row>
    <row r="312" spans="1:3" x14ac:dyDescent="0.25">
      <c r="A312" s="1">
        <v>44641</v>
      </c>
      <c r="B312" s="2">
        <v>40991</v>
      </c>
      <c r="C312" s="3">
        <f>(VOO_data[[#This Row],[Último]]/B311)-1</f>
        <v>4.8793578764971812E-5</v>
      </c>
    </row>
    <row r="313" spans="1:3" x14ac:dyDescent="0.25">
      <c r="A313" s="1">
        <v>44642</v>
      </c>
      <c r="B313" s="2">
        <v>41467</v>
      </c>
      <c r="C313" s="3">
        <f>(VOO_data[[#This Row],[Último]]/B312)-1</f>
        <v>1.1612305140152657E-2</v>
      </c>
    </row>
    <row r="314" spans="1:3" x14ac:dyDescent="0.25">
      <c r="A314" s="1">
        <v>44643</v>
      </c>
      <c r="B314" s="2">
        <v>40933</v>
      </c>
      <c r="C314" s="3">
        <f>(VOO_data[[#This Row],[Último]]/B313)-1</f>
        <v>-1.2877709986254149E-2</v>
      </c>
    </row>
    <row r="315" spans="1:3" x14ac:dyDescent="0.25">
      <c r="A315" s="1">
        <v>44644</v>
      </c>
      <c r="B315" s="2">
        <v>41402</v>
      </c>
      <c r="C315" s="3">
        <f>(VOO_data[[#This Row],[Último]]/B314)-1</f>
        <v>1.1457748027263959E-2</v>
      </c>
    </row>
    <row r="316" spans="1:3" x14ac:dyDescent="0.25">
      <c r="A316" s="1">
        <v>44645</v>
      </c>
      <c r="B316" s="2">
        <v>41612</v>
      </c>
      <c r="C316" s="3">
        <f>(VOO_data[[#This Row],[Último]]/B315)-1</f>
        <v>5.0722187333944735E-3</v>
      </c>
    </row>
    <row r="317" spans="1:3" x14ac:dyDescent="0.25">
      <c r="A317" s="1">
        <v>44648</v>
      </c>
      <c r="B317" s="2">
        <v>41899</v>
      </c>
      <c r="C317" s="3">
        <f>(VOO_data[[#This Row],[Último]]/B316)-1</f>
        <v>6.8970489281938718E-3</v>
      </c>
    </row>
    <row r="318" spans="1:3" x14ac:dyDescent="0.25">
      <c r="A318" s="1">
        <v>44649</v>
      </c>
      <c r="B318" s="2">
        <v>42429</v>
      </c>
      <c r="C318" s="3">
        <f>(VOO_data[[#This Row],[Último]]/B317)-1</f>
        <v>1.2649466574381263E-2</v>
      </c>
    </row>
    <row r="319" spans="1:3" x14ac:dyDescent="0.25">
      <c r="A319" s="1">
        <v>44650</v>
      </c>
      <c r="B319" s="2">
        <v>42165</v>
      </c>
      <c r="C319" s="3">
        <f>(VOO_data[[#This Row],[Último]]/B318)-1</f>
        <v>-6.2221593721275559E-3</v>
      </c>
    </row>
    <row r="320" spans="1:3" x14ac:dyDescent="0.25">
      <c r="A320" s="1">
        <v>44651</v>
      </c>
      <c r="B320" s="2">
        <v>41517</v>
      </c>
      <c r="C320" s="3">
        <f>(VOO_data[[#This Row],[Último]]/B319)-1</f>
        <v>-1.536819637139808E-2</v>
      </c>
    </row>
    <row r="321" spans="1:3" x14ac:dyDescent="0.25">
      <c r="A321" s="1">
        <v>44652</v>
      </c>
      <c r="B321" s="2">
        <v>41632</v>
      </c>
      <c r="C321" s="3">
        <f>(VOO_data[[#This Row],[Último]]/B320)-1</f>
        <v>2.7699496591757633E-3</v>
      </c>
    </row>
    <row r="322" spans="1:3" x14ac:dyDescent="0.25">
      <c r="A322" s="1">
        <v>44655</v>
      </c>
      <c r="B322" s="2">
        <v>41985</v>
      </c>
      <c r="C322" s="3">
        <f>(VOO_data[[#This Row],[Último]]/B321)-1</f>
        <v>8.4790545734050315E-3</v>
      </c>
    </row>
    <row r="323" spans="1:3" x14ac:dyDescent="0.25">
      <c r="A323" s="1">
        <v>44656</v>
      </c>
      <c r="B323" s="2">
        <v>41466</v>
      </c>
      <c r="C323" s="3">
        <f>(VOO_data[[#This Row],[Último]]/B322)-1</f>
        <v>-1.2361557699178238E-2</v>
      </c>
    </row>
    <row r="324" spans="1:3" x14ac:dyDescent="0.25">
      <c r="A324" s="1">
        <v>44657</v>
      </c>
      <c r="B324" s="2">
        <v>41046</v>
      </c>
      <c r="C324" s="3">
        <f>(VOO_data[[#This Row],[Último]]/B323)-1</f>
        <v>-1.012878020546959E-2</v>
      </c>
    </row>
    <row r="325" spans="1:3" x14ac:dyDescent="0.25">
      <c r="A325" s="1">
        <v>44658</v>
      </c>
      <c r="B325" s="2">
        <v>41253</v>
      </c>
      <c r="C325" s="3">
        <f>(VOO_data[[#This Row],[Último]]/B324)-1</f>
        <v>5.0431223505336131E-3</v>
      </c>
    </row>
    <row r="326" spans="1:3" x14ac:dyDescent="0.25">
      <c r="A326" s="1">
        <v>44659</v>
      </c>
      <c r="B326" s="2">
        <v>41153</v>
      </c>
      <c r="C326" s="3">
        <f>(VOO_data[[#This Row],[Último]]/B325)-1</f>
        <v>-2.4240661285239717E-3</v>
      </c>
    </row>
    <row r="327" spans="1:3" x14ac:dyDescent="0.25">
      <c r="A327" s="1">
        <v>44662</v>
      </c>
      <c r="B327" s="2">
        <v>40440</v>
      </c>
      <c r="C327" s="3">
        <f>(VOO_data[[#This Row],[Último]]/B326)-1</f>
        <v>-1.7325589871941327E-2</v>
      </c>
    </row>
    <row r="328" spans="1:3" x14ac:dyDescent="0.25">
      <c r="A328" s="1">
        <v>44663</v>
      </c>
      <c r="B328" s="2">
        <v>40292</v>
      </c>
      <c r="C328" s="3">
        <f>(VOO_data[[#This Row],[Último]]/B327)-1</f>
        <v>-3.659742828882262E-3</v>
      </c>
    </row>
    <row r="329" spans="1:3" x14ac:dyDescent="0.25">
      <c r="A329" s="1">
        <v>44664</v>
      </c>
      <c r="B329" s="2">
        <v>40747</v>
      </c>
      <c r="C329" s="3">
        <f>(VOO_data[[#This Row],[Último]]/B328)-1</f>
        <v>1.1292564280750428E-2</v>
      </c>
    </row>
    <row r="330" spans="1:3" x14ac:dyDescent="0.25">
      <c r="A330" s="1">
        <v>44665</v>
      </c>
      <c r="B330" s="2">
        <v>40252</v>
      </c>
      <c r="C330" s="3">
        <f>(VOO_data[[#This Row],[Último]]/B329)-1</f>
        <v>-1.2148133604927946E-2</v>
      </c>
    </row>
    <row r="331" spans="1:3" x14ac:dyDescent="0.25">
      <c r="A331" s="1">
        <v>44669</v>
      </c>
      <c r="B331" s="2">
        <v>40259</v>
      </c>
      <c r="C331" s="3">
        <f>(VOO_data[[#This Row],[Último]]/B330)-1</f>
        <v>1.7390440226572323E-4</v>
      </c>
    </row>
    <row r="332" spans="1:3" x14ac:dyDescent="0.25">
      <c r="A332" s="1">
        <v>44670</v>
      </c>
      <c r="B332" s="2">
        <v>40902</v>
      </c>
      <c r="C332" s="3">
        <f>(VOO_data[[#This Row],[Último]]/B331)-1</f>
        <v>1.5971583993641181E-2</v>
      </c>
    </row>
    <row r="333" spans="1:3" x14ac:dyDescent="0.25">
      <c r="A333" s="1">
        <v>44671</v>
      </c>
      <c r="B333" s="2">
        <v>40871</v>
      </c>
      <c r="C333" s="3">
        <f>(VOO_data[[#This Row],[Último]]/B332)-1</f>
        <v>-7.5790914869688919E-4</v>
      </c>
    </row>
    <row r="334" spans="1:3" x14ac:dyDescent="0.25">
      <c r="A334" s="1">
        <v>44672</v>
      </c>
      <c r="B334" s="2">
        <v>40265</v>
      </c>
      <c r="C334" s="3">
        <f>(VOO_data[[#This Row],[Último]]/B333)-1</f>
        <v>-1.4827139047246196E-2</v>
      </c>
    </row>
    <row r="335" spans="1:3" x14ac:dyDescent="0.25">
      <c r="A335" s="1">
        <v>44673</v>
      </c>
      <c r="B335" s="2">
        <v>39166</v>
      </c>
      <c r="C335" s="3">
        <f>(VOO_data[[#This Row],[Último]]/B334)-1</f>
        <v>-2.7294176083447197E-2</v>
      </c>
    </row>
    <row r="336" spans="1:3" x14ac:dyDescent="0.25">
      <c r="A336" s="1">
        <v>44676</v>
      </c>
      <c r="B336" s="2">
        <v>39380</v>
      </c>
      <c r="C336" s="3">
        <f>(VOO_data[[#This Row],[Último]]/B335)-1</f>
        <v>5.4639227901751575E-3</v>
      </c>
    </row>
    <row r="337" spans="1:3" x14ac:dyDescent="0.25">
      <c r="A337" s="1">
        <v>44677</v>
      </c>
      <c r="B337" s="2">
        <v>38254</v>
      </c>
      <c r="C337" s="3">
        <f>(VOO_data[[#This Row],[Último]]/B336)-1</f>
        <v>-2.8593194514982212E-2</v>
      </c>
    </row>
    <row r="338" spans="1:3" x14ac:dyDescent="0.25">
      <c r="A338" s="1">
        <v>44678</v>
      </c>
      <c r="B338" s="2">
        <v>38353</v>
      </c>
      <c r="C338" s="3">
        <f>(VOO_data[[#This Row],[Último]]/B337)-1</f>
        <v>2.587964657290831E-3</v>
      </c>
    </row>
    <row r="339" spans="1:3" x14ac:dyDescent="0.25">
      <c r="A339" s="1">
        <v>44679</v>
      </c>
      <c r="B339" s="2">
        <v>39314</v>
      </c>
      <c r="C339" s="3">
        <f>(VOO_data[[#This Row],[Último]]/B338)-1</f>
        <v>2.5056710035720853E-2</v>
      </c>
    </row>
    <row r="340" spans="1:3" x14ac:dyDescent="0.25">
      <c r="A340" s="1">
        <v>44680</v>
      </c>
      <c r="B340" s="2">
        <v>37870</v>
      </c>
      <c r="C340" s="3">
        <f>(VOO_data[[#This Row],[Último]]/B339)-1</f>
        <v>-3.672991809533499E-2</v>
      </c>
    </row>
    <row r="341" spans="1:3" x14ac:dyDescent="0.25">
      <c r="A341" s="1">
        <v>44683</v>
      </c>
      <c r="B341" s="2">
        <v>38108</v>
      </c>
      <c r="C341" s="3">
        <f>(VOO_data[[#This Row],[Último]]/B340)-1</f>
        <v>6.2846580406654695E-3</v>
      </c>
    </row>
    <row r="342" spans="1:3" x14ac:dyDescent="0.25">
      <c r="A342" s="1">
        <v>44684</v>
      </c>
      <c r="B342" s="2">
        <v>38273</v>
      </c>
      <c r="C342" s="3">
        <f>(VOO_data[[#This Row],[Último]]/B341)-1</f>
        <v>4.3297995171618364E-3</v>
      </c>
    </row>
    <row r="343" spans="1:3" x14ac:dyDescent="0.25">
      <c r="A343" s="1">
        <v>44685</v>
      </c>
      <c r="B343" s="2">
        <v>39434</v>
      </c>
      <c r="C343" s="3">
        <f>(VOO_data[[#This Row],[Último]]/B342)-1</f>
        <v>3.0334700702845385E-2</v>
      </c>
    </row>
    <row r="344" spans="1:3" x14ac:dyDescent="0.25">
      <c r="A344" s="1">
        <v>44686</v>
      </c>
      <c r="B344" s="2">
        <v>38049</v>
      </c>
      <c r="C344" s="3">
        <f>(VOO_data[[#This Row],[Último]]/B343)-1</f>
        <v>-3.5121975959831575E-2</v>
      </c>
    </row>
    <row r="345" spans="1:3" x14ac:dyDescent="0.25">
      <c r="A345" s="1">
        <v>44687</v>
      </c>
      <c r="B345" s="2">
        <v>37810</v>
      </c>
      <c r="C345" s="3">
        <f>(VOO_data[[#This Row],[Último]]/B344)-1</f>
        <v>-6.2813740177140032E-3</v>
      </c>
    </row>
    <row r="346" spans="1:3" x14ac:dyDescent="0.25">
      <c r="A346" s="1">
        <v>44690</v>
      </c>
      <c r="B346" s="2">
        <v>36590</v>
      </c>
      <c r="C346" s="3">
        <f>(VOO_data[[#This Row],[Último]]/B345)-1</f>
        <v>-3.2266596138587622E-2</v>
      </c>
    </row>
    <row r="347" spans="1:3" x14ac:dyDescent="0.25">
      <c r="A347" s="1">
        <v>44691</v>
      </c>
      <c r="B347" s="2">
        <v>36684</v>
      </c>
      <c r="C347" s="3">
        <f>(VOO_data[[#This Row],[Último]]/B346)-1</f>
        <v>2.5690079256628362E-3</v>
      </c>
    </row>
    <row r="348" spans="1:3" x14ac:dyDescent="0.25">
      <c r="A348" s="1">
        <v>44692</v>
      </c>
      <c r="B348" s="2">
        <v>36093</v>
      </c>
      <c r="C348" s="3">
        <f>(VOO_data[[#This Row],[Último]]/B347)-1</f>
        <v>-1.611056591429505E-2</v>
      </c>
    </row>
    <row r="349" spans="1:3" x14ac:dyDescent="0.25">
      <c r="A349" s="1">
        <v>44693</v>
      </c>
      <c r="B349" s="2">
        <v>36065</v>
      </c>
      <c r="C349" s="3">
        <f>(VOO_data[[#This Row],[Último]]/B348)-1</f>
        <v>-7.7577369573045285E-4</v>
      </c>
    </row>
    <row r="350" spans="1:3" x14ac:dyDescent="0.25">
      <c r="A350" s="1">
        <v>44694</v>
      </c>
      <c r="B350" s="2">
        <v>36916</v>
      </c>
      <c r="C350" s="3">
        <f>(VOO_data[[#This Row],[Último]]/B349)-1</f>
        <v>2.359628448634421E-2</v>
      </c>
    </row>
    <row r="351" spans="1:3" x14ac:dyDescent="0.25">
      <c r="A351" s="1">
        <v>44697</v>
      </c>
      <c r="B351" s="2">
        <v>36784</v>
      </c>
      <c r="C351" s="3">
        <f>(VOO_data[[#This Row],[Último]]/B350)-1</f>
        <v>-3.5756853396901045E-3</v>
      </c>
    </row>
    <row r="352" spans="1:3" x14ac:dyDescent="0.25">
      <c r="A352" s="1">
        <v>44698</v>
      </c>
      <c r="B352" s="2">
        <v>37520</v>
      </c>
      <c r="C352" s="3">
        <f>(VOO_data[[#This Row],[Último]]/B351)-1</f>
        <v>2.0008699434536759E-2</v>
      </c>
    </row>
    <row r="353" spans="1:3" x14ac:dyDescent="0.25">
      <c r="A353" s="1">
        <v>44699</v>
      </c>
      <c r="B353" s="2">
        <v>36034</v>
      </c>
      <c r="C353" s="3">
        <f>(VOO_data[[#This Row],[Último]]/B352)-1</f>
        <v>-3.960554371002134E-2</v>
      </c>
    </row>
    <row r="354" spans="1:3" x14ac:dyDescent="0.25">
      <c r="A354" s="1">
        <v>44700</v>
      </c>
      <c r="B354" s="2">
        <v>35793</v>
      </c>
      <c r="C354" s="3">
        <f>(VOO_data[[#This Row],[Último]]/B353)-1</f>
        <v>-6.6881278792251253E-3</v>
      </c>
    </row>
    <row r="355" spans="1:3" x14ac:dyDescent="0.25">
      <c r="A355" s="1">
        <v>44701</v>
      </c>
      <c r="B355" s="2">
        <v>35802</v>
      </c>
      <c r="C355" s="3">
        <f>(VOO_data[[#This Row],[Último]]/B354)-1</f>
        <v>2.5144581342728678E-4</v>
      </c>
    </row>
    <row r="356" spans="1:3" x14ac:dyDescent="0.25">
      <c r="A356" s="1">
        <v>44704</v>
      </c>
      <c r="B356" s="2">
        <v>36481</v>
      </c>
      <c r="C356" s="3">
        <f>(VOO_data[[#This Row],[Último]]/B355)-1</f>
        <v>1.8965420926205345E-2</v>
      </c>
    </row>
    <row r="357" spans="1:3" x14ac:dyDescent="0.25">
      <c r="A357" s="1">
        <v>44705</v>
      </c>
      <c r="B357" s="2">
        <v>36218</v>
      </c>
      <c r="C357" s="3">
        <f>(VOO_data[[#This Row],[Último]]/B356)-1</f>
        <v>-7.209232203064575E-3</v>
      </c>
    </row>
    <row r="358" spans="1:3" x14ac:dyDescent="0.25">
      <c r="A358" s="1">
        <v>44706</v>
      </c>
      <c r="B358" s="2">
        <v>36520</v>
      </c>
      <c r="C358" s="3">
        <f>(VOO_data[[#This Row],[Último]]/B357)-1</f>
        <v>8.3383952730686772E-3</v>
      </c>
    </row>
    <row r="359" spans="1:3" x14ac:dyDescent="0.25">
      <c r="A359" s="1">
        <v>44707</v>
      </c>
      <c r="B359" s="2">
        <v>37246</v>
      </c>
      <c r="C359" s="3">
        <f>(VOO_data[[#This Row],[Último]]/B358)-1</f>
        <v>1.9879518072289049E-2</v>
      </c>
    </row>
    <row r="360" spans="1:3" x14ac:dyDescent="0.25">
      <c r="A360" s="1">
        <v>44708</v>
      </c>
      <c r="B360" s="2">
        <v>38180</v>
      </c>
      <c r="C360" s="3">
        <f>(VOO_data[[#This Row],[Último]]/B359)-1</f>
        <v>2.5076518283842608E-2</v>
      </c>
    </row>
    <row r="361" spans="1:3" x14ac:dyDescent="0.25">
      <c r="A361" s="1">
        <v>44712</v>
      </c>
      <c r="B361" s="2">
        <v>37968</v>
      </c>
      <c r="C361" s="3">
        <f>(VOO_data[[#This Row],[Último]]/B360)-1</f>
        <v>-5.5526453640649676E-3</v>
      </c>
    </row>
    <row r="362" spans="1:3" x14ac:dyDescent="0.25">
      <c r="A362" s="1">
        <v>44713</v>
      </c>
      <c r="B362" s="2">
        <v>37650</v>
      </c>
      <c r="C362" s="3">
        <f>(VOO_data[[#This Row],[Último]]/B361)-1</f>
        <v>-8.3754740834386388E-3</v>
      </c>
    </row>
    <row r="363" spans="1:3" x14ac:dyDescent="0.25">
      <c r="A363" s="1">
        <v>44714</v>
      </c>
      <c r="B363" s="2">
        <v>38365</v>
      </c>
      <c r="C363" s="3">
        <f>(VOO_data[[#This Row],[Último]]/B362)-1</f>
        <v>1.8990703851261559E-2</v>
      </c>
    </row>
    <row r="364" spans="1:3" x14ac:dyDescent="0.25">
      <c r="A364" s="1">
        <v>44715</v>
      </c>
      <c r="B364" s="2">
        <v>37744</v>
      </c>
      <c r="C364" s="3">
        <f>(VOO_data[[#This Row],[Último]]/B363)-1</f>
        <v>-1.6186628437377837E-2</v>
      </c>
    </row>
    <row r="365" spans="1:3" x14ac:dyDescent="0.25">
      <c r="A365" s="1">
        <v>44718</v>
      </c>
      <c r="B365" s="2">
        <v>37847</v>
      </c>
      <c r="C365" s="3">
        <f>(VOO_data[[#This Row],[Último]]/B364)-1</f>
        <v>2.7289105553200965E-3</v>
      </c>
    </row>
    <row r="366" spans="1:3" x14ac:dyDescent="0.25">
      <c r="A366" s="1">
        <v>44719</v>
      </c>
      <c r="B366" s="2">
        <v>38217</v>
      </c>
      <c r="C366" s="3">
        <f>(VOO_data[[#This Row],[Último]]/B365)-1</f>
        <v>9.7762041905566921E-3</v>
      </c>
    </row>
    <row r="367" spans="1:3" x14ac:dyDescent="0.25">
      <c r="A367" s="1">
        <v>44720</v>
      </c>
      <c r="B367" s="2">
        <v>37799</v>
      </c>
      <c r="C367" s="3">
        <f>(VOO_data[[#This Row],[Último]]/B366)-1</f>
        <v>-1.0937540884946473E-2</v>
      </c>
    </row>
    <row r="368" spans="1:3" x14ac:dyDescent="0.25">
      <c r="A368" s="1">
        <v>44721</v>
      </c>
      <c r="B368" s="2">
        <v>36910</v>
      </c>
      <c r="C368" s="3">
        <f>(VOO_data[[#This Row],[Último]]/B367)-1</f>
        <v>-2.3519140718008424E-2</v>
      </c>
    </row>
    <row r="369" spans="1:3" x14ac:dyDescent="0.25">
      <c r="A369" s="1">
        <v>44722</v>
      </c>
      <c r="B369" s="2">
        <v>35827</v>
      </c>
      <c r="C369" s="3">
        <f>(VOO_data[[#This Row],[Último]]/B368)-1</f>
        <v>-2.9341641831482024E-2</v>
      </c>
    </row>
    <row r="370" spans="1:3" x14ac:dyDescent="0.25">
      <c r="A370" s="1">
        <v>44725</v>
      </c>
      <c r="B370" s="2">
        <v>34446</v>
      </c>
      <c r="C370" s="3">
        <f>(VOO_data[[#This Row],[Último]]/B369)-1</f>
        <v>-3.8546347726574948E-2</v>
      </c>
    </row>
    <row r="371" spans="1:3" x14ac:dyDescent="0.25">
      <c r="A371" s="1">
        <v>44726</v>
      </c>
      <c r="B371" s="2">
        <v>34360</v>
      </c>
      <c r="C371" s="3">
        <f>(VOO_data[[#This Row],[Último]]/B370)-1</f>
        <v>-2.4966614410961707E-3</v>
      </c>
    </row>
    <row r="372" spans="1:3" x14ac:dyDescent="0.25">
      <c r="A372" s="1">
        <v>44727</v>
      </c>
      <c r="B372" s="2">
        <v>34852</v>
      </c>
      <c r="C372" s="3">
        <f>(VOO_data[[#This Row],[Último]]/B371)-1</f>
        <v>1.431897555296846E-2</v>
      </c>
    </row>
    <row r="373" spans="1:3" x14ac:dyDescent="0.25">
      <c r="A373" s="1">
        <v>44728</v>
      </c>
      <c r="B373" s="2">
        <v>33707</v>
      </c>
      <c r="C373" s="3">
        <f>(VOO_data[[#This Row],[Último]]/B372)-1</f>
        <v>-3.2853207850338628E-2</v>
      </c>
    </row>
    <row r="374" spans="1:3" x14ac:dyDescent="0.25">
      <c r="A374" s="1">
        <v>44729</v>
      </c>
      <c r="B374" s="2">
        <v>33795</v>
      </c>
      <c r="C374" s="3">
        <f>(VOO_data[[#This Row],[Último]]/B373)-1</f>
        <v>2.6107336754976895E-3</v>
      </c>
    </row>
    <row r="375" spans="1:3" x14ac:dyDescent="0.25">
      <c r="A375" s="1">
        <v>44733</v>
      </c>
      <c r="B375" s="2">
        <v>34623</v>
      </c>
      <c r="C375" s="3">
        <f>(VOO_data[[#This Row],[Último]]/B374)-1</f>
        <v>2.4500665778961483E-2</v>
      </c>
    </row>
    <row r="376" spans="1:3" x14ac:dyDescent="0.25">
      <c r="A376" s="1">
        <v>44734</v>
      </c>
      <c r="B376" s="2">
        <v>34550</v>
      </c>
      <c r="C376" s="3">
        <f>(VOO_data[[#This Row],[Último]]/B375)-1</f>
        <v>-2.1084250353811118E-3</v>
      </c>
    </row>
    <row r="377" spans="1:3" x14ac:dyDescent="0.25">
      <c r="A377" s="1">
        <v>44735</v>
      </c>
      <c r="B377" s="2">
        <v>34913</v>
      </c>
      <c r="C377" s="3">
        <f>(VOO_data[[#This Row],[Último]]/B376)-1</f>
        <v>1.0506512301013071E-2</v>
      </c>
    </row>
    <row r="378" spans="1:3" x14ac:dyDescent="0.25">
      <c r="A378" s="1">
        <v>44736</v>
      </c>
      <c r="B378" s="2">
        <v>36000</v>
      </c>
      <c r="C378" s="3">
        <f>(VOO_data[[#This Row],[Último]]/B377)-1</f>
        <v>3.1134534414115178E-2</v>
      </c>
    </row>
    <row r="379" spans="1:3" x14ac:dyDescent="0.25">
      <c r="A379" s="1">
        <v>44739</v>
      </c>
      <c r="B379" s="2">
        <v>35865</v>
      </c>
      <c r="C379" s="3">
        <f>(VOO_data[[#This Row],[Último]]/B378)-1</f>
        <v>-3.7500000000000311E-3</v>
      </c>
    </row>
    <row r="380" spans="1:3" x14ac:dyDescent="0.25">
      <c r="A380" s="1">
        <v>44740</v>
      </c>
      <c r="B380" s="2">
        <v>35090</v>
      </c>
      <c r="C380" s="3">
        <f>(VOO_data[[#This Row],[Último]]/B379)-1</f>
        <v>-2.1608810818346535E-2</v>
      </c>
    </row>
    <row r="381" spans="1:3" x14ac:dyDescent="0.25">
      <c r="A381" s="1">
        <v>44741</v>
      </c>
      <c r="B381" s="2">
        <v>34964</v>
      </c>
      <c r="C381" s="3">
        <f>(VOO_data[[#This Row],[Último]]/B380)-1</f>
        <v>-3.5907666001709915E-3</v>
      </c>
    </row>
    <row r="382" spans="1:3" x14ac:dyDescent="0.25">
      <c r="A382" s="1">
        <v>44742</v>
      </c>
      <c r="B382" s="2">
        <v>34688</v>
      </c>
      <c r="C382" s="3">
        <f>(VOO_data[[#This Row],[Último]]/B381)-1</f>
        <v>-7.8938336574763124E-3</v>
      </c>
    </row>
    <row r="383" spans="1:3" x14ac:dyDescent="0.25">
      <c r="A383" s="1">
        <v>44743</v>
      </c>
      <c r="B383" s="2">
        <v>35044</v>
      </c>
      <c r="C383" s="3">
        <f>(VOO_data[[#This Row],[Último]]/B382)-1</f>
        <v>1.026291512915134E-2</v>
      </c>
    </row>
    <row r="384" spans="1:3" x14ac:dyDescent="0.25">
      <c r="A384" s="1">
        <v>44747</v>
      </c>
      <c r="B384" s="2">
        <v>35106</v>
      </c>
      <c r="C384" s="3">
        <f>(VOO_data[[#This Row],[Último]]/B383)-1</f>
        <v>1.7692044287180853E-3</v>
      </c>
    </row>
    <row r="385" spans="1:3" x14ac:dyDescent="0.25">
      <c r="A385" s="1">
        <v>44748</v>
      </c>
      <c r="B385" s="2">
        <v>35233</v>
      </c>
      <c r="C385" s="3">
        <f>(VOO_data[[#This Row],[Último]]/B384)-1</f>
        <v>3.6176152224691727E-3</v>
      </c>
    </row>
    <row r="386" spans="1:3" x14ac:dyDescent="0.25">
      <c r="A386" s="1">
        <v>44749</v>
      </c>
      <c r="B386" s="2">
        <v>35750</v>
      </c>
      <c r="C386" s="3">
        <f>(VOO_data[[#This Row],[Último]]/B385)-1</f>
        <v>1.4673743365594794E-2</v>
      </c>
    </row>
    <row r="387" spans="1:3" x14ac:dyDescent="0.25">
      <c r="A387" s="1">
        <v>44750</v>
      </c>
      <c r="B387" s="2">
        <v>35729</v>
      </c>
      <c r="C387" s="3">
        <f>(VOO_data[[#This Row],[Último]]/B386)-1</f>
        <v>-5.8741258741257241E-4</v>
      </c>
    </row>
    <row r="388" spans="1:3" x14ac:dyDescent="0.25">
      <c r="A388" s="1">
        <v>44753</v>
      </c>
      <c r="B388" s="2">
        <v>35325</v>
      </c>
      <c r="C388" s="3">
        <f>(VOO_data[[#This Row],[Último]]/B387)-1</f>
        <v>-1.1307341375353386E-2</v>
      </c>
    </row>
    <row r="389" spans="1:3" x14ac:dyDescent="0.25">
      <c r="A389" s="1">
        <v>44754</v>
      </c>
      <c r="B389" s="2">
        <v>34999</v>
      </c>
      <c r="C389" s="3">
        <f>(VOO_data[[#This Row],[Último]]/B388)-1</f>
        <v>-9.2285916489738273E-3</v>
      </c>
    </row>
    <row r="390" spans="1:3" x14ac:dyDescent="0.25">
      <c r="A390" s="1">
        <v>44755</v>
      </c>
      <c r="B390" s="2">
        <v>34836</v>
      </c>
      <c r="C390" s="3">
        <f>(VOO_data[[#This Row],[Último]]/B389)-1</f>
        <v>-4.6572759221692461E-3</v>
      </c>
    </row>
    <row r="391" spans="1:3" x14ac:dyDescent="0.25">
      <c r="A391" s="1">
        <v>44756</v>
      </c>
      <c r="B391" s="2">
        <v>34744</v>
      </c>
      <c r="C391" s="3">
        <f>(VOO_data[[#This Row],[Último]]/B390)-1</f>
        <v>-2.6409461476633034E-3</v>
      </c>
    </row>
    <row r="392" spans="1:3" x14ac:dyDescent="0.25">
      <c r="A392" s="1">
        <v>44757</v>
      </c>
      <c r="B392" s="2">
        <v>35401</v>
      </c>
      <c r="C392" s="3">
        <f>(VOO_data[[#This Row],[Último]]/B391)-1</f>
        <v>1.8909739811190374E-2</v>
      </c>
    </row>
    <row r="393" spans="1:3" x14ac:dyDescent="0.25">
      <c r="A393" s="1">
        <v>44760</v>
      </c>
      <c r="B393" s="2">
        <v>35108</v>
      </c>
      <c r="C393" s="3">
        <f>(VOO_data[[#This Row],[Último]]/B392)-1</f>
        <v>-8.276602355865692E-3</v>
      </c>
    </row>
    <row r="394" spans="1:3" x14ac:dyDescent="0.25">
      <c r="A394" s="1">
        <v>44761</v>
      </c>
      <c r="B394" s="2">
        <v>36061</v>
      </c>
      <c r="C394" s="3">
        <f>(VOO_data[[#This Row],[Último]]/B393)-1</f>
        <v>2.7144810299646771E-2</v>
      </c>
    </row>
    <row r="395" spans="1:3" x14ac:dyDescent="0.25">
      <c r="A395" s="1">
        <v>44762</v>
      </c>
      <c r="B395" s="2">
        <v>36292</v>
      </c>
      <c r="C395" s="3">
        <f>(VOO_data[[#This Row],[Último]]/B394)-1</f>
        <v>6.405812373478259E-3</v>
      </c>
    </row>
    <row r="396" spans="1:3" x14ac:dyDescent="0.25">
      <c r="A396" s="1">
        <v>44763</v>
      </c>
      <c r="B396" s="2">
        <v>36659</v>
      </c>
      <c r="C396" s="3">
        <f>(VOO_data[[#This Row],[Último]]/B395)-1</f>
        <v>1.0112421470296562E-2</v>
      </c>
    </row>
    <row r="397" spans="1:3" x14ac:dyDescent="0.25">
      <c r="A397" s="1">
        <v>44764</v>
      </c>
      <c r="B397" s="2">
        <v>36325</v>
      </c>
      <c r="C397" s="3">
        <f>(VOO_data[[#This Row],[Último]]/B396)-1</f>
        <v>-9.1109959355137882E-3</v>
      </c>
    </row>
    <row r="398" spans="1:3" x14ac:dyDescent="0.25">
      <c r="A398" s="1">
        <v>44767</v>
      </c>
      <c r="B398" s="2">
        <v>36361</v>
      </c>
      <c r="C398" s="3">
        <f>(VOO_data[[#This Row],[Último]]/B397)-1</f>
        <v>9.9105299380597422E-4</v>
      </c>
    </row>
    <row r="399" spans="1:3" x14ac:dyDescent="0.25">
      <c r="A399" s="1">
        <v>44768</v>
      </c>
      <c r="B399" s="2">
        <v>35925</v>
      </c>
      <c r="C399" s="3">
        <f>(VOO_data[[#This Row],[Último]]/B398)-1</f>
        <v>-1.1990869338026955E-2</v>
      </c>
    </row>
    <row r="400" spans="1:3" x14ac:dyDescent="0.25">
      <c r="A400" s="1">
        <v>44769</v>
      </c>
      <c r="B400" s="2">
        <v>36866</v>
      </c>
      <c r="C400" s="3">
        <f>(VOO_data[[#This Row],[Último]]/B399)-1</f>
        <v>2.6193458594293562E-2</v>
      </c>
    </row>
    <row r="401" spans="1:3" x14ac:dyDescent="0.25">
      <c r="A401" s="1">
        <v>44770</v>
      </c>
      <c r="B401" s="2">
        <v>37332</v>
      </c>
      <c r="C401" s="3">
        <f>(VOO_data[[#This Row],[Último]]/B400)-1</f>
        <v>1.2640373243639091E-2</v>
      </c>
    </row>
    <row r="402" spans="1:3" x14ac:dyDescent="0.25">
      <c r="A402" s="1">
        <v>44771</v>
      </c>
      <c r="B402" s="2">
        <v>37879</v>
      </c>
      <c r="C402" s="3">
        <f>(VOO_data[[#This Row],[Último]]/B401)-1</f>
        <v>1.4652309011036202E-2</v>
      </c>
    </row>
    <row r="403" spans="1:3" x14ac:dyDescent="0.25">
      <c r="A403" s="1">
        <v>44774</v>
      </c>
      <c r="B403" s="2">
        <v>37765</v>
      </c>
      <c r="C403" s="3">
        <f>(VOO_data[[#This Row],[Último]]/B402)-1</f>
        <v>-3.0095831463343714E-3</v>
      </c>
    </row>
    <row r="404" spans="1:3" x14ac:dyDescent="0.25">
      <c r="A404" s="1">
        <v>44775</v>
      </c>
      <c r="B404" s="2">
        <v>37521</v>
      </c>
      <c r="C404" s="3">
        <f>(VOO_data[[#This Row],[Último]]/B403)-1</f>
        <v>-6.4610088706473778E-3</v>
      </c>
    </row>
    <row r="405" spans="1:3" x14ac:dyDescent="0.25">
      <c r="A405" s="1">
        <v>44776</v>
      </c>
      <c r="B405" s="2">
        <v>38107</v>
      </c>
      <c r="C405" s="3">
        <f>(VOO_data[[#This Row],[Último]]/B404)-1</f>
        <v>1.5617920631113336E-2</v>
      </c>
    </row>
    <row r="406" spans="1:3" x14ac:dyDescent="0.25">
      <c r="A406" s="1">
        <v>44777</v>
      </c>
      <c r="B406" s="2">
        <v>38077</v>
      </c>
      <c r="C406" s="3">
        <f>(VOO_data[[#This Row],[Último]]/B405)-1</f>
        <v>-7.8725693442149858E-4</v>
      </c>
    </row>
    <row r="407" spans="1:3" x14ac:dyDescent="0.25">
      <c r="A407" s="1">
        <v>44778</v>
      </c>
      <c r="B407" s="2">
        <v>37998</v>
      </c>
      <c r="C407" s="3">
        <f>(VOO_data[[#This Row],[Último]]/B406)-1</f>
        <v>-2.0747432833468915E-3</v>
      </c>
    </row>
    <row r="408" spans="1:3" x14ac:dyDescent="0.25">
      <c r="A408" s="1">
        <v>44781</v>
      </c>
      <c r="B408" s="2">
        <v>37964</v>
      </c>
      <c r="C408" s="3">
        <f>(VOO_data[[#This Row],[Último]]/B407)-1</f>
        <v>-8.9478393599662365E-4</v>
      </c>
    </row>
    <row r="409" spans="1:3" x14ac:dyDescent="0.25">
      <c r="A409" s="1">
        <v>44782</v>
      </c>
      <c r="B409" s="2">
        <v>37814</v>
      </c>
      <c r="C409" s="3">
        <f>(VOO_data[[#This Row],[Último]]/B408)-1</f>
        <v>-3.9511115793909868E-3</v>
      </c>
    </row>
    <row r="410" spans="1:3" x14ac:dyDescent="0.25">
      <c r="A410" s="1">
        <v>44783</v>
      </c>
      <c r="B410" s="2">
        <v>38606</v>
      </c>
      <c r="C410" s="3">
        <f>(VOO_data[[#This Row],[Último]]/B409)-1</f>
        <v>2.0944623684349795E-2</v>
      </c>
    </row>
    <row r="411" spans="1:3" x14ac:dyDescent="0.25">
      <c r="A411" s="1">
        <v>44784</v>
      </c>
      <c r="B411" s="2">
        <v>38606</v>
      </c>
      <c r="C411" s="3">
        <f>(VOO_data[[#This Row],[Último]]/B410)-1</f>
        <v>0</v>
      </c>
    </row>
    <row r="412" spans="1:3" x14ac:dyDescent="0.25">
      <c r="A412" s="1">
        <v>44785</v>
      </c>
      <c r="B412" s="2">
        <v>39267</v>
      </c>
      <c r="C412" s="3">
        <f>(VOO_data[[#This Row],[Último]]/B411)-1</f>
        <v>1.7121690928871169E-2</v>
      </c>
    </row>
    <row r="413" spans="1:3" x14ac:dyDescent="0.25">
      <c r="A413" s="1">
        <v>44788</v>
      </c>
      <c r="B413" s="2">
        <v>39435</v>
      </c>
      <c r="C413" s="3">
        <f>(VOO_data[[#This Row],[Último]]/B412)-1</f>
        <v>4.2784017113606243E-3</v>
      </c>
    </row>
    <row r="414" spans="1:3" x14ac:dyDescent="0.25">
      <c r="A414" s="1">
        <v>44789</v>
      </c>
      <c r="B414" s="2">
        <v>39504</v>
      </c>
      <c r="C414" s="3">
        <f>(VOO_data[[#This Row],[Último]]/B413)-1</f>
        <v>1.7497147204259544E-3</v>
      </c>
    </row>
    <row r="415" spans="1:3" x14ac:dyDescent="0.25">
      <c r="A415" s="1">
        <v>44790</v>
      </c>
      <c r="B415" s="2">
        <v>39234</v>
      </c>
      <c r="C415" s="3">
        <f>(VOO_data[[#This Row],[Último]]/B414)-1</f>
        <v>-6.834750911300147E-3</v>
      </c>
    </row>
    <row r="416" spans="1:3" x14ac:dyDescent="0.25">
      <c r="A416" s="1">
        <v>44791</v>
      </c>
      <c r="B416" s="2">
        <v>39355</v>
      </c>
      <c r="C416" s="3">
        <f>(VOO_data[[#This Row],[Último]]/B415)-1</f>
        <v>3.0840597440995321E-3</v>
      </c>
    </row>
    <row r="417" spans="1:3" x14ac:dyDescent="0.25">
      <c r="A417" s="1">
        <v>44792</v>
      </c>
      <c r="B417" s="2">
        <v>38812</v>
      </c>
      <c r="C417" s="3">
        <f>(VOO_data[[#This Row],[Último]]/B416)-1</f>
        <v>-1.3797484436539165E-2</v>
      </c>
    </row>
    <row r="418" spans="1:3" x14ac:dyDescent="0.25">
      <c r="A418" s="1">
        <v>44795</v>
      </c>
      <c r="B418" s="2">
        <v>37994</v>
      </c>
      <c r="C418" s="3">
        <f>(VOO_data[[#This Row],[Último]]/B417)-1</f>
        <v>-2.1075955889930942E-2</v>
      </c>
    </row>
    <row r="419" spans="1:3" x14ac:dyDescent="0.25">
      <c r="A419" s="1">
        <v>44796</v>
      </c>
      <c r="B419" s="2">
        <v>37904</v>
      </c>
      <c r="C419" s="3">
        <f>(VOO_data[[#This Row],[Último]]/B418)-1</f>
        <v>-2.3687950729062157E-3</v>
      </c>
    </row>
    <row r="420" spans="1:3" x14ac:dyDescent="0.25">
      <c r="A420" s="1">
        <v>44797</v>
      </c>
      <c r="B420" s="2">
        <v>38019</v>
      </c>
      <c r="C420" s="3">
        <f>(VOO_data[[#This Row],[Último]]/B419)-1</f>
        <v>3.0339805825243538E-3</v>
      </c>
    </row>
    <row r="421" spans="1:3" x14ac:dyDescent="0.25">
      <c r="A421" s="1">
        <v>44798</v>
      </c>
      <c r="B421" s="2">
        <v>38573</v>
      </c>
      <c r="C421" s="3">
        <f>(VOO_data[[#This Row],[Último]]/B420)-1</f>
        <v>1.4571661537652325E-2</v>
      </c>
    </row>
    <row r="422" spans="1:3" x14ac:dyDescent="0.25">
      <c r="A422" s="1">
        <v>44799</v>
      </c>
      <c r="B422" s="2">
        <v>37251</v>
      </c>
      <c r="C422" s="3">
        <f>(VOO_data[[#This Row],[Último]]/B421)-1</f>
        <v>-3.4272677779794147E-2</v>
      </c>
    </row>
    <row r="423" spans="1:3" x14ac:dyDescent="0.25">
      <c r="A423" s="1">
        <v>44802</v>
      </c>
      <c r="B423" s="2">
        <v>37005</v>
      </c>
      <c r="C423" s="3">
        <f>(VOO_data[[#This Row],[Último]]/B422)-1</f>
        <v>-6.6038495610856174E-3</v>
      </c>
    </row>
    <row r="424" spans="1:3" x14ac:dyDescent="0.25">
      <c r="A424" s="1">
        <v>44803</v>
      </c>
      <c r="B424" s="2">
        <v>36603</v>
      </c>
      <c r="C424" s="3">
        <f>(VOO_data[[#This Row],[Último]]/B423)-1</f>
        <v>-1.0863396838265094E-2</v>
      </c>
    </row>
    <row r="425" spans="1:3" x14ac:dyDescent="0.25">
      <c r="A425" s="1">
        <v>44804</v>
      </c>
      <c r="B425" s="2">
        <v>36315</v>
      </c>
      <c r="C425" s="3">
        <f>(VOO_data[[#This Row],[Último]]/B424)-1</f>
        <v>-7.8682075239734361E-3</v>
      </c>
    </row>
    <row r="426" spans="1:3" x14ac:dyDescent="0.25">
      <c r="A426" s="1">
        <v>44805</v>
      </c>
      <c r="B426" s="2">
        <v>36427</v>
      </c>
      <c r="C426" s="3">
        <f>(VOO_data[[#This Row],[Último]]/B425)-1</f>
        <v>3.0841250172104484E-3</v>
      </c>
    </row>
    <row r="427" spans="1:3" x14ac:dyDescent="0.25">
      <c r="A427" s="1">
        <v>44806</v>
      </c>
      <c r="B427" s="2">
        <v>36045</v>
      </c>
      <c r="C427" s="3">
        <f>(VOO_data[[#This Row],[Último]]/B426)-1</f>
        <v>-1.0486726878414343E-2</v>
      </c>
    </row>
    <row r="428" spans="1:3" x14ac:dyDescent="0.25">
      <c r="A428" s="1">
        <v>44810</v>
      </c>
      <c r="B428" s="2">
        <v>35924</v>
      </c>
      <c r="C428" s="3">
        <f>(VOO_data[[#This Row],[Último]]/B427)-1</f>
        <v>-3.3569149674018695E-3</v>
      </c>
    </row>
    <row r="429" spans="1:3" x14ac:dyDescent="0.25">
      <c r="A429" s="1">
        <v>44811</v>
      </c>
      <c r="B429" s="2">
        <v>36568</v>
      </c>
      <c r="C429" s="3">
        <f>(VOO_data[[#This Row],[Último]]/B428)-1</f>
        <v>1.7926734216679563E-2</v>
      </c>
    </row>
    <row r="430" spans="1:3" x14ac:dyDescent="0.25">
      <c r="A430" s="1">
        <v>44812</v>
      </c>
      <c r="B430" s="2">
        <v>36807</v>
      </c>
      <c r="C430" s="3">
        <f>(VOO_data[[#This Row],[Último]]/B429)-1</f>
        <v>6.5357689783416273E-3</v>
      </c>
    </row>
    <row r="431" spans="1:3" x14ac:dyDescent="0.25">
      <c r="A431" s="1">
        <v>44813</v>
      </c>
      <c r="B431" s="2">
        <v>37375</v>
      </c>
      <c r="C431" s="3">
        <f>(VOO_data[[#This Row],[Último]]/B430)-1</f>
        <v>1.5431847202977744E-2</v>
      </c>
    </row>
    <row r="432" spans="1:3" x14ac:dyDescent="0.25">
      <c r="A432" s="1">
        <v>44816</v>
      </c>
      <c r="B432" s="2">
        <v>37786</v>
      </c>
      <c r="C432" s="3">
        <f>(VOO_data[[#This Row],[Último]]/B431)-1</f>
        <v>1.0996655518394682E-2</v>
      </c>
    </row>
    <row r="433" spans="1:3" x14ac:dyDescent="0.25">
      <c r="A433" s="1">
        <v>44817</v>
      </c>
      <c r="B433" s="2">
        <v>36138</v>
      </c>
      <c r="C433" s="3">
        <f>(VOO_data[[#This Row],[Último]]/B432)-1</f>
        <v>-4.3614036944900181E-2</v>
      </c>
    </row>
    <row r="434" spans="1:3" x14ac:dyDescent="0.25">
      <c r="A434" s="1">
        <v>44818</v>
      </c>
      <c r="B434" s="2">
        <v>36273</v>
      </c>
      <c r="C434" s="3">
        <f>(VOO_data[[#This Row],[Último]]/B433)-1</f>
        <v>3.7356798937406843E-3</v>
      </c>
    </row>
    <row r="435" spans="1:3" x14ac:dyDescent="0.25">
      <c r="A435" s="1">
        <v>44819</v>
      </c>
      <c r="B435" s="2">
        <v>35868</v>
      </c>
      <c r="C435" s="3">
        <f>(VOO_data[[#This Row],[Último]]/B434)-1</f>
        <v>-1.1165329583988082E-2</v>
      </c>
    </row>
    <row r="436" spans="1:3" x14ac:dyDescent="0.25">
      <c r="A436" s="1">
        <v>44820</v>
      </c>
      <c r="B436" s="2">
        <v>35586</v>
      </c>
      <c r="C436" s="3">
        <f>(VOO_data[[#This Row],[Último]]/B435)-1</f>
        <v>-7.86216125794581E-3</v>
      </c>
    </row>
    <row r="437" spans="1:3" x14ac:dyDescent="0.25">
      <c r="A437" s="1">
        <v>44823</v>
      </c>
      <c r="B437" s="2">
        <v>35859</v>
      </c>
      <c r="C437" s="3">
        <f>(VOO_data[[#This Row],[Último]]/B436)-1</f>
        <v>7.6715562299780604E-3</v>
      </c>
    </row>
    <row r="438" spans="1:3" x14ac:dyDescent="0.25">
      <c r="A438" s="1">
        <v>44824</v>
      </c>
      <c r="B438" s="2">
        <v>35455</v>
      </c>
      <c r="C438" s="3">
        <f>(VOO_data[[#This Row],[Último]]/B437)-1</f>
        <v>-1.1266348754845334E-2</v>
      </c>
    </row>
    <row r="439" spans="1:3" x14ac:dyDescent="0.25">
      <c r="A439" s="1">
        <v>44825</v>
      </c>
      <c r="B439" s="2">
        <v>34831</v>
      </c>
      <c r="C439" s="3">
        <f>(VOO_data[[#This Row],[Último]]/B438)-1</f>
        <v>-1.7599774361867104E-2</v>
      </c>
    </row>
    <row r="440" spans="1:3" x14ac:dyDescent="0.25">
      <c r="A440" s="1">
        <v>44826</v>
      </c>
      <c r="B440" s="2">
        <v>34537</v>
      </c>
      <c r="C440" s="3">
        <f>(VOO_data[[#This Row],[Último]]/B439)-1</f>
        <v>-8.440756797105986E-3</v>
      </c>
    </row>
    <row r="441" spans="1:3" x14ac:dyDescent="0.25">
      <c r="A441" s="1">
        <v>44827</v>
      </c>
      <c r="B441" s="2">
        <v>33963</v>
      </c>
      <c r="C441" s="3">
        <f>(VOO_data[[#This Row],[Último]]/B440)-1</f>
        <v>-1.6619856964994018E-2</v>
      </c>
    </row>
    <row r="442" spans="1:3" x14ac:dyDescent="0.25">
      <c r="A442" s="1">
        <v>44830</v>
      </c>
      <c r="B442" s="2">
        <v>33634</v>
      </c>
      <c r="C442" s="3">
        <f>(VOO_data[[#This Row],[Último]]/B441)-1</f>
        <v>-9.6870123369549033E-3</v>
      </c>
    </row>
    <row r="443" spans="1:3" x14ac:dyDescent="0.25">
      <c r="A443" s="1">
        <v>44831</v>
      </c>
      <c r="B443" s="2">
        <v>33539</v>
      </c>
      <c r="C443" s="3">
        <f>(VOO_data[[#This Row],[Último]]/B442)-1</f>
        <v>-2.8245228043051185E-3</v>
      </c>
    </row>
    <row r="444" spans="1:3" x14ac:dyDescent="0.25">
      <c r="A444" s="1">
        <v>44832</v>
      </c>
      <c r="B444" s="2">
        <v>34048</v>
      </c>
      <c r="C444" s="3">
        <f>(VOO_data[[#This Row],[Último]]/B443)-1</f>
        <v>1.5176361847401454E-2</v>
      </c>
    </row>
    <row r="445" spans="1:3" x14ac:dyDescent="0.25">
      <c r="A445" s="1">
        <v>44833</v>
      </c>
      <c r="B445" s="2">
        <v>33338</v>
      </c>
      <c r="C445" s="3">
        <f>(VOO_data[[#This Row],[Último]]/B444)-1</f>
        <v>-2.0852913533834561E-2</v>
      </c>
    </row>
    <row r="446" spans="1:3" x14ac:dyDescent="0.25">
      <c r="A446" s="1">
        <v>44834</v>
      </c>
      <c r="B446" s="2">
        <v>32830</v>
      </c>
      <c r="C446" s="3">
        <f>(VOO_data[[#This Row],[Último]]/B445)-1</f>
        <v>-1.5237866698662228E-2</v>
      </c>
    </row>
    <row r="447" spans="1:3" x14ac:dyDescent="0.25">
      <c r="A447" s="1">
        <v>44837</v>
      </c>
      <c r="B447" s="2">
        <v>33698</v>
      </c>
      <c r="C447" s="3">
        <f>(VOO_data[[#This Row],[Último]]/B446)-1</f>
        <v>2.6439232409381619E-2</v>
      </c>
    </row>
    <row r="448" spans="1:3" x14ac:dyDescent="0.25">
      <c r="A448" s="1">
        <v>44838</v>
      </c>
      <c r="B448" s="2">
        <v>34721</v>
      </c>
      <c r="C448" s="3">
        <f>(VOO_data[[#This Row],[Último]]/B447)-1</f>
        <v>3.035788474093426E-2</v>
      </c>
    </row>
    <row r="449" spans="1:3" x14ac:dyDescent="0.25">
      <c r="A449" s="1">
        <v>44839</v>
      </c>
      <c r="B449" s="2">
        <v>34661</v>
      </c>
      <c r="C449" s="3">
        <f>(VOO_data[[#This Row],[Último]]/B448)-1</f>
        <v>-1.7280608277411291E-3</v>
      </c>
    </row>
    <row r="450" spans="1:3" x14ac:dyDescent="0.25">
      <c r="A450" s="1">
        <v>44840</v>
      </c>
      <c r="B450" s="2">
        <v>34296</v>
      </c>
      <c r="C450" s="3">
        <f>(VOO_data[[#This Row],[Último]]/B449)-1</f>
        <v>-1.0530567496610077E-2</v>
      </c>
    </row>
    <row r="451" spans="1:3" x14ac:dyDescent="0.25">
      <c r="A451" s="1">
        <v>44841</v>
      </c>
      <c r="B451" s="2">
        <v>33333</v>
      </c>
      <c r="C451" s="3">
        <f>(VOO_data[[#This Row],[Último]]/B450)-1</f>
        <v>-2.807907627711681E-2</v>
      </c>
    </row>
    <row r="452" spans="1:3" x14ac:dyDescent="0.25">
      <c r="A452" s="1">
        <v>44844</v>
      </c>
      <c r="B452" s="2">
        <v>33084</v>
      </c>
      <c r="C452" s="3">
        <f>(VOO_data[[#This Row],[Último]]/B451)-1</f>
        <v>-7.4700747007470092E-3</v>
      </c>
    </row>
    <row r="453" spans="1:3" x14ac:dyDescent="0.25">
      <c r="A453" s="1">
        <v>44845</v>
      </c>
      <c r="B453" s="2">
        <v>32866</v>
      </c>
      <c r="C453" s="3">
        <f>(VOO_data[[#This Row],[Último]]/B452)-1</f>
        <v>-6.5892878732922711E-3</v>
      </c>
    </row>
    <row r="454" spans="1:3" x14ac:dyDescent="0.25">
      <c r="A454" s="1">
        <v>44846</v>
      </c>
      <c r="B454" s="2">
        <v>32764</v>
      </c>
      <c r="C454" s="3">
        <f>(VOO_data[[#This Row],[Último]]/B453)-1</f>
        <v>-3.1035112274082621E-3</v>
      </c>
    </row>
    <row r="455" spans="1:3" x14ac:dyDescent="0.25">
      <c r="A455" s="1">
        <v>44847</v>
      </c>
      <c r="B455" s="2">
        <v>33622</v>
      </c>
      <c r="C455" s="3">
        <f>(VOO_data[[#This Row],[Último]]/B454)-1</f>
        <v>2.6187278720547047E-2</v>
      </c>
    </row>
    <row r="456" spans="1:3" x14ac:dyDescent="0.25">
      <c r="A456" s="1">
        <v>44848</v>
      </c>
      <c r="B456" s="2">
        <v>32865</v>
      </c>
      <c r="C456" s="3">
        <f>(VOO_data[[#This Row],[Último]]/B455)-1</f>
        <v>-2.2515019927428437E-2</v>
      </c>
    </row>
    <row r="457" spans="1:3" x14ac:dyDescent="0.25">
      <c r="A457" s="1">
        <v>44851</v>
      </c>
      <c r="B457" s="2">
        <v>33700</v>
      </c>
      <c r="C457" s="3">
        <f>(VOO_data[[#This Row],[Último]]/B456)-1</f>
        <v>2.5406967898980781E-2</v>
      </c>
    </row>
    <row r="458" spans="1:3" x14ac:dyDescent="0.25">
      <c r="A458" s="1">
        <v>44852</v>
      </c>
      <c r="B458" s="2">
        <v>34097</v>
      </c>
      <c r="C458" s="3">
        <f>(VOO_data[[#This Row],[Último]]/B457)-1</f>
        <v>1.1780415430266977E-2</v>
      </c>
    </row>
    <row r="459" spans="1:3" x14ac:dyDescent="0.25">
      <c r="A459" s="1">
        <v>44853</v>
      </c>
      <c r="B459" s="2">
        <v>33861</v>
      </c>
      <c r="C459" s="3">
        <f>(VOO_data[[#This Row],[Último]]/B458)-1</f>
        <v>-6.9214300378331872E-3</v>
      </c>
    </row>
    <row r="460" spans="1:3" x14ac:dyDescent="0.25">
      <c r="A460" s="1">
        <v>44854</v>
      </c>
      <c r="B460" s="2">
        <v>33583</v>
      </c>
      <c r="C460" s="3">
        <f>(VOO_data[[#This Row],[Último]]/B459)-1</f>
        <v>-8.2100351436755759E-3</v>
      </c>
    </row>
    <row r="461" spans="1:3" x14ac:dyDescent="0.25">
      <c r="A461" s="1">
        <v>44855</v>
      </c>
      <c r="B461" s="2">
        <v>34390</v>
      </c>
      <c r="C461" s="3">
        <f>(VOO_data[[#This Row],[Último]]/B460)-1</f>
        <v>2.4030015186254916E-2</v>
      </c>
    </row>
    <row r="462" spans="1:3" x14ac:dyDescent="0.25">
      <c r="A462" s="1">
        <v>44858</v>
      </c>
      <c r="B462" s="2">
        <v>34809</v>
      </c>
      <c r="C462" s="3">
        <f>(VOO_data[[#This Row],[Último]]/B461)-1</f>
        <v>1.2183774353009547E-2</v>
      </c>
    </row>
    <row r="463" spans="1:3" x14ac:dyDescent="0.25">
      <c r="A463" s="1">
        <v>44859</v>
      </c>
      <c r="B463" s="2">
        <v>35375</v>
      </c>
      <c r="C463" s="3">
        <f>(VOO_data[[#This Row],[Último]]/B462)-1</f>
        <v>1.6260162601626105E-2</v>
      </c>
    </row>
    <row r="464" spans="1:3" x14ac:dyDescent="0.25">
      <c r="A464" s="1">
        <v>44860</v>
      </c>
      <c r="B464" s="2">
        <v>35111</v>
      </c>
      <c r="C464" s="3">
        <f>(VOO_data[[#This Row],[Último]]/B463)-1</f>
        <v>-7.462897526501755E-3</v>
      </c>
    </row>
    <row r="465" spans="1:3" x14ac:dyDescent="0.25">
      <c r="A465" s="1">
        <v>44861</v>
      </c>
      <c r="B465" s="2">
        <v>34923</v>
      </c>
      <c r="C465" s="3">
        <f>(VOO_data[[#This Row],[Último]]/B464)-1</f>
        <v>-5.3544473242004287E-3</v>
      </c>
    </row>
    <row r="466" spans="1:3" x14ac:dyDescent="0.25">
      <c r="A466" s="1">
        <v>44862</v>
      </c>
      <c r="B466" s="2">
        <v>35738</v>
      </c>
      <c r="C466" s="3">
        <f>(VOO_data[[#This Row],[Último]]/B465)-1</f>
        <v>2.3337055808492879E-2</v>
      </c>
    </row>
    <row r="467" spans="1:3" x14ac:dyDescent="0.25">
      <c r="A467" s="1">
        <v>44865</v>
      </c>
      <c r="B467" s="2">
        <v>35495</v>
      </c>
      <c r="C467" s="3">
        <f>(VOO_data[[#This Row],[Último]]/B466)-1</f>
        <v>-6.7994851418657909E-3</v>
      </c>
    </row>
    <row r="468" spans="1:3" x14ac:dyDescent="0.25">
      <c r="A468" s="1">
        <v>44866</v>
      </c>
      <c r="B468" s="2">
        <v>35352</v>
      </c>
      <c r="C468" s="3">
        <f>(VOO_data[[#This Row],[Último]]/B467)-1</f>
        <v>-4.0287364417523897E-3</v>
      </c>
    </row>
    <row r="469" spans="1:3" x14ac:dyDescent="0.25">
      <c r="A469" s="1">
        <v>44867</v>
      </c>
      <c r="B469" s="2">
        <v>34450</v>
      </c>
      <c r="C469" s="3">
        <f>(VOO_data[[#This Row],[Último]]/B468)-1</f>
        <v>-2.5514822357999511E-2</v>
      </c>
    </row>
    <row r="470" spans="1:3" x14ac:dyDescent="0.25">
      <c r="A470" s="1">
        <v>44868</v>
      </c>
      <c r="B470" s="2">
        <v>34083</v>
      </c>
      <c r="C470" s="3">
        <f>(VOO_data[[#This Row],[Último]]/B469)-1</f>
        <v>-1.0653120464441224E-2</v>
      </c>
    </row>
    <row r="471" spans="1:3" x14ac:dyDescent="0.25">
      <c r="A471" s="1">
        <v>44869</v>
      </c>
      <c r="B471" s="2">
        <v>34582</v>
      </c>
      <c r="C471" s="3">
        <f>(VOO_data[[#This Row],[Último]]/B470)-1</f>
        <v>1.4640729982689393E-2</v>
      </c>
    </row>
    <row r="472" spans="1:3" x14ac:dyDescent="0.25">
      <c r="A472" s="1">
        <v>44872</v>
      </c>
      <c r="B472" s="2">
        <v>34914</v>
      </c>
      <c r="C472" s="3">
        <f>(VOO_data[[#This Row],[Último]]/B471)-1</f>
        <v>9.6003701347522341E-3</v>
      </c>
    </row>
    <row r="473" spans="1:3" x14ac:dyDescent="0.25">
      <c r="A473" s="1">
        <v>44873</v>
      </c>
      <c r="B473" s="2">
        <v>35104</v>
      </c>
      <c r="C473" s="3">
        <f>(VOO_data[[#This Row],[Último]]/B472)-1</f>
        <v>5.4419430600904928E-3</v>
      </c>
    </row>
    <row r="474" spans="1:3" x14ac:dyDescent="0.25">
      <c r="A474" s="1">
        <v>44874</v>
      </c>
      <c r="B474" s="2">
        <v>34387</v>
      </c>
      <c r="C474" s="3">
        <f>(VOO_data[[#This Row],[Último]]/B473)-1</f>
        <v>-2.0425022789425706E-2</v>
      </c>
    </row>
    <row r="475" spans="1:3" x14ac:dyDescent="0.25">
      <c r="A475" s="1">
        <v>44875</v>
      </c>
      <c r="B475" s="2">
        <v>36269</v>
      </c>
      <c r="C475" s="3">
        <f>(VOO_data[[#This Row],[Último]]/B474)-1</f>
        <v>5.4729985168813888E-2</v>
      </c>
    </row>
    <row r="476" spans="1:3" x14ac:dyDescent="0.25">
      <c r="A476" s="1">
        <v>44876</v>
      </c>
      <c r="B476" s="2">
        <v>36616</v>
      </c>
      <c r="C476" s="3">
        <f>(VOO_data[[#This Row],[Último]]/B475)-1</f>
        <v>9.5673991563043348E-3</v>
      </c>
    </row>
    <row r="477" spans="1:3" x14ac:dyDescent="0.25">
      <c r="A477" s="1">
        <v>44879</v>
      </c>
      <c r="B477" s="2">
        <v>36322</v>
      </c>
      <c r="C477" s="3">
        <f>(VOO_data[[#This Row],[Último]]/B476)-1</f>
        <v>-8.0292768188769958E-3</v>
      </c>
    </row>
    <row r="478" spans="1:3" x14ac:dyDescent="0.25">
      <c r="A478" s="1">
        <v>44880</v>
      </c>
      <c r="B478" s="2">
        <v>36622</v>
      </c>
      <c r="C478" s="3">
        <f>(VOO_data[[#This Row],[Último]]/B477)-1</f>
        <v>8.2594570783547372E-3</v>
      </c>
    </row>
    <row r="479" spans="1:3" x14ac:dyDescent="0.25">
      <c r="A479" s="1">
        <v>44881</v>
      </c>
      <c r="B479" s="2">
        <v>36344</v>
      </c>
      <c r="C479" s="3">
        <f>(VOO_data[[#This Row],[Último]]/B478)-1</f>
        <v>-7.5910654797662902E-3</v>
      </c>
    </row>
    <row r="480" spans="1:3" x14ac:dyDescent="0.25">
      <c r="A480" s="1">
        <v>44882</v>
      </c>
      <c r="B480" s="2">
        <v>36239</v>
      </c>
      <c r="C480" s="3">
        <f>(VOO_data[[#This Row],[Último]]/B479)-1</f>
        <v>-2.8890600924499354E-3</v>
      </c>
    </row>
    <row r="481" spans="1:3" x14ac:dyDescent="0.25">
      <c r="A481" s="1">
        <v>44883</v>
      </c>
      <c r="B481" s="2">
        <v>36399</v>
      </c>
      <c r="C481" s="3">
        <f>(VOO_data[[#This Row],[Último]]/B480)-1</f>
        <v>4.4151328679047364E-3</v>
      </c>
    </row>
    <row r="482" spans="1:3" x14ac:dyDescent="0.25">
      <c r="A482" s="1">
        <v>44886</v>
      </c>
      <c r="B482" s="2">
        <v>36271</v>
      </c>
      <c r="C482" s="3">
        <f>(VOO_data[[#This Row],[Último]]/B481)-1</f>
        <v>-3.516580125827673E-3</v>
      </c>
    </row>
    <row r="483" spans="1:3" x14ac:dyDescent="0.25">
      <c r="A483" s="1">
        <v>44887</v>
      </c>
      <c r="B483" s="2">
        <v>36754</v>
      </c>
      <c r="C483" s="3">
        <f>(VOO_data[[#This Row],[Último]]/B482)-1</f>
        <v>1.331642358909324E-2</v>
      </c>
    </row>
    <row r="484" spans="1:3" x14ac:dyDescent="0.25">
      <c r="A484" s="1">
        <v>44888</v>
      </c>
      <c r="B484" s="2">
        <v>36984</v>
      </c>
      <c r="C484" s="3">
        <f>(VOO_data[[#This Row],[Último]]/B483)-1</f>
        <v>6.2578222778473247E-3</v>
      </c>
    </row>
    <row r="485" spans="1:3" x14ac:dyDescent="0.25">
      <c r="A485" s="1">
        <v>44890</v>
      </c>
      <c r="B485" s="2">
        <v>36980</v>
      </c>
      <c r="C485" s="3">
        <f>(VOO_data[[#This Row],[Último]]/B484)-1</f>
        <v>-1.0815487778503829E-4</v>
      </c>
    </row>
    <row r="486" spans="1:3" x14ac:dyDescent="0.25">
      <c r="A486" s="1">
        <v>44893</v>
      </c>
      <c r="B486" s="2">
        <v>36395</v>
      </c>
      <c r="C486" s="3">
        <f>(VOO_data[[#This Row],[Último]]/B485)-1</f>
        <v>-1.5819361817198452E-2</v>
      </c>
    </row>
    <row r="487" spans="1:3" x14ac:dyDescent="0.25">
      <c r="A487" s="1">
        <v>44894</v>
      </c>
      <c r="B487" s="2">
        <v>36331</v>
      </c>
      <c r="C487" s="3">
        <f>(VOO_data[[#This Row],[Último]]/B486)-1</f>
        <v>-1.7584833081467632E-3</v>
      </c>
    </row>
    <row r="488" spans="1:3" x14ac:dyDescent="0.25">
      <c r="A488" s="1">
        <v>44895</v>
      </c>
      <c r="B488" s="2">
        <v>37449</v>
      </c>
      <c r="C488" s="3">
        <f>(VOO_data[[#This Row],[Último]]/B487)-1</f>
        <v>3.0772618425036535E-2</v>
      </c>
    </row>
    <row r="489" spans="1:3" x14ac:dyDescent="0.25">
      <c r="A489" s="1">
        <v>44896</v>
      </c>
      <c r="B489" s="2">
        <v>37454</v>
      </c>
      <c r="C489" s="3">
        <f>(VOO_data[[#This Row],[Último]]/B488)-1</f>
        <v>1.3351491361590639E-4</v>
      </c>
    </row>
    <row r="490" spans="1:3" x14ac:dyDescent="0.25">
      <c r="A490" s="1">
        <v>44897</v>
      </c>
      <c r="B490" s="2">
        <v>37400</v>
      </c>
      <c r="C490" s="3">
        <f>(VOO_data[[#This Row],[Último]]/B489)-1</f>
        <v>-1.4417685694452231E-3</v>
      </c>
    </row>
    <row r="491" spans="1:3" x14ac:dyDescent="0.25">
      <c r="A491" s="1">
        <v>44900</v>
      </c>
      <c r="B491" s="2">
        <v>36734</v>
      </c>
      <c r="C491" s="3">
        <f>(VOO_data[[#This Row],[Último]]/B490)-1</f>
        <v>-1.7807486631016056E-2</v>
      </c>
    </row>
    <row r="492" spans="1:3" x14ac:dyDescent="0.25">
      <c r="A492" s="1">
        <v>44901</v>
      </c>
      <c r="B492" s="2">
        <v>36203</v>
      </c>
      <c r="C492" s="3">
        <f>(VOO_data[[#This Row],[Último]]/B491)-1</f>
        <v>-1.4455273044046368E-2</v>
      </c>
    </row>
    <row r="493" spans="1:3" x14ac:dyDescent="0.25">
      <c r="A493" s="1">
        <v>44902</v>
      </c>
      <c r="B493" s="2">
        <v>36133</v>
      </c>
      <c r="C493" s="3">
        <f>(VOO_data[[#This Row],[Último]]/B492)-1</f>
        <v>-1.93354141921942E-3</v>
      </c>
    </row>
    <row r="494" spans="1:3" x14ac:dyDescent="0.25">
      <c r="A494" s="1">
        <v>44903</v>
      </c>
      <c r="B494" s="2">
        <v>36418</v>
      </c>
      <c r="C494" s="3">
        <f>(VOO_data[[#This Row],[Último]]/B493)-1</f>
        <v>7.8875266376996489E-3</v>
      </c>
    </row>
    <row r="495" spans="1:3" x14ac:dyDescent="0.25">
      <c r="A495" s="1">
        <v>44904</v>
      </c>
      <c r="B495" s="2">
        <v>36152</v>
      </c>
      <c r="C495" s="3">
        <f>(VOO_data[[#This Row],[Último]]/B494)-1</f>
        <v>-7.3040803998023485E-3</v>
      </c>
    </row>
    <row r="496" spans="1:3" x14ac:dyDescent="0.25">
      <c r="A496" s="1">
        <v>44907</v>
      </c>
      <c r="B496" s="2">
        <v>36668</v>
      </c>
      <c r="C496" s="3">
        <f>(VOO_data[[#This Row],[Último]]/B495)-1</f>
        <v>1.4273069263111227E-2</v>
      </c>
    </row>
    <row r="497" spans="1:3" x14ac:dyDescent="0.25">
      <c r="A497" s="1">
        <v>44908</v>
      </c>
      <c r="B497" s="2">
        <v>36939</v>
      </c>
      <c r="C497" s="3">
        <f>(VOO_data[[#This Row],[Último]]/B496)-1</f>
        <v>7.3906403403511955E-3</v>
      </c>
    </row>
    <row r="498" spans="1:3" x14ac:dyDescent="0.25">
      <c r="A498" s="1">
        <v>44909</v>
      </c>
      <c r="B498" s="2">
        <v>36716</v>
      </c>
      <c r="C498" s="3">
        <f>(VOO_data[[#This Row],[Último]]/B497)-1</f>
        <v>-6.0369798857575763E-3</v>
      </c>
    </row>
    <row r="499" spans="1:3" x14ac:dyDescent="0.25">
      <c r="A499" s="1">
        <v>44910</v>
      </c>
      <c r="B499" s="2">
        <v>35813</v>
      </c>
      <c r="C499" s="3">
        <f>(VOO_data[[#This Row],[Último]]/B498)-1</f>
        <v>-2.4594182372807527E-2</v>
      </c>
    </row>
    <row r="500" spans="1:3" x14ac:dyDescent="0.25">
      <c r="A500" s="1">
        <v>44911</v>
      </c>
      <c r="B500" s="2">
        <v>35386</v>
      </c>
      <c r="C500" s="3">
        <f>(VOO_data[[#This Row],[Último]]/B499)-1</f>
        <v>-1.1923044704436947E-2</v>
      </c>
    </row>
    <row r="501" spans="1:3" x14ac:dyDescent="0.25">
      <c r="A501" s="1">
        <v>44914</v>
      </c>
      <c r="B501" s="2">
        <v>35081</v>
      </c>
      <c r="C501" s="3">
        <f>(VOO_data[[#This Row],[Último]]/B500)-1</f>
        <v>-8.6192279432544261E-3</v>
      </c>
    </row>
    <row r="502" spans="1:3" x14ac:dyDescent="0.25">
      <c r="A502" s="1">
        <v>44915</v>
      </c>
      <c r="B502" s="2">
        <v>34967</v>
      </c>
      <c r="C502" s="3">
        <f>(VOO_data[[#This Row],[Último]]/B501)-1</f>
        <v>-3.2496223026710069E-3</v>
      </c>
    </row>
    <row r="503" spans="1:3" x14ac:dyDescent="0.25">
      <c r="A503" s="1">
        <v>44916</v>
      </c>
      <c r="B503" s="2">
        <v>35490</v>
      </c>
      <c r="C503" s="3">
        <f>(VOO_data[[#This Row],[Último]]/B502)-1</f>
        <v>1.4956959418880755E-2</v>
      </c>
    </row>
    <row r="504" spans="1:3" x14ac:dyDescent="0.25">
      <c r="A504" s="1">
        <v>44917</v>
      </c>
      <c r="B504" s="2">
        <v>34991</v>
      </c>
      <c r="C504" s="3">
        <f>(VOO_data[[#This Row],[Último]]/B503)-1</f>
        <v>-1.4060298675683258E-2</v>
      </c>
    </row>
    <row r="505" spans="1:3" x14ac:dyDescent="0.25">
      <c r="A505" s="1">
        <v>44918</v>
      </c>
      <c r="B505" s="2">
        <v>35187</v>
      </c>
      <c r="C505" s="3">
        <f>(VOO_data[[#This Row],[Último]]/B504)-1</f>
        <v>5.6014403703810167E-3</v>
      </c>
    </row>
    <row r="506" spans="1:3" x14ac:dyDescent="0.25">
      <c r="A506" s="1">
        <v>44922</v>
      </c>
      <c r="B506" s="2">
        <v>35047</v>
      </c>
      <c r="C506" s="3">
        <f>(VOO_data[[#This Row],[Último]]/B505)-1</f>
        <v>-3.9787421490891095E-3</v>
      </c>
    </row>
    <row r="507" spans="1:3" x14ac:dyDescent="0.25">
      <c r="A507" s="1">
        <v>44923</v>
      </c>
      <c r="B507" s="2">
        <v>34617</v>
      </c>
      <c r="C507" s="3">
        <f>(VOO_data[[#This Row],[Último]]/B506)-1</f>
        <v>-1.226923845122263E-2</v>
      </c>
    </row>
    <row r="508" spans="1:3" x14ac:dyDescent="0.25">
      <c r="A508" s="1">
        <v>44924</v>
      </c>
      <c r="B508" s="2">
        <v>35231</v>
      </c>
      <c r="C508" s="3">
        <f>(VOO_data[[#This Row],[Último]]/B507)-1</f>
        <v>1.7736950053441891E-2</v>
      </c>
    </row>
    <row r="509" spans="1:3" x14ac:dyDescent="0.25">
      <c r="A509" s="1">
        <v>44925</v>
      </c>
      <c r="B509" s="2">
        <v>35134</v>
      </c>
      <c r="C509" s="3">
        <f>(VOO_data[[#This Row],[Último]]/B508)-1</f>
        <v>-2.7532570747352825E-3</v>
      </c>
    </row>
    <row r="510" spans="1:3" x14ac:dyDescent="0.25">
      <c r="A510" s="1">
        <v>44929</v>
      </c>
      <c r="B510" s="2">
        <v>34999</v>
      </c>
      <c r="C510" s="3">
        <f>(VOO_data[[#This Row],[Último]]/B509)-1</f>
        <v>-3.8424318324130624E-3</v>
      </c>
    </row>
    <row r="511" spans="1:3" x14ac:dyDescent="0.25">
      <c r="A511" s="1">
        <v>44930</v>
      </c>
      <c r="B511" s="2">
        <v>35251</v>
      </c>
      <c r="C511" s="3">
        <f>(VOO_data[[#This Row],[Último]]/B510)-1</f>
        <v>7.200205720163444E-3</v>
      </c>
    </row>
    <row r="512" spans="1:3" x14ac:dyDescent="0.25">
      <c r="A512" s="1">
        <v>44931</v>
      </c>
      <c r="B512" s="2">
        <v>34866</v>
      </c>
      <c r="C512" s="3">
        <f>(VOO_data[[#This Row],[Último]]/B511)-1</f>
        <v>-1.0921675980823276E-2</v>
      </c>
    </row>
    <row r="513" spans="1:3" x14ac:dyDescent="0.25">
      <c r="A513" s="1">
        <v>44932</v>
      </c>
      <c r="B513" s="2">
        <v>35659</v>
      </c>
      <c r="C513" s="3">
        <f>(VOO_data[[#This Row],[Último]]/B512)-1</f>
        <v>2.2744220730797959E-2</v>
      </c>
    </row>
    <row r="514" spans="1:3" x14ac:dyDescent="0.25">
      <c r="A514" s="1">
        <v>44935</v>
      </c>
      <c r="B514" s="2">
        <v>35633</v>
      </c>
      <c r="C514" s="3">
        <f>(VOO_data[[#This Row],[Último]]/B513)-1</f>
        <v>-7.2912869121399826E-4</v>
      </c>
    </row>
    <row r="515" spans="1:3" x14ac:dyDescent="0.25">
      <c r="A515" s="1">
        <v>44936</v>
      </c>
      <c r="B515" s="2">
        <v>35887</v>
      </c>
      <c r="C515" s="3">
        <f>(VOO_data[[#This Row],[Último]]/B514)-1</f>
        <v>7.1282238374541507E-3</v>
      </c>
    </row>
    <row r="516" spans="1:3" x14ac:dyDescent="0.25">
      <c r="A516" s="1">
        <v>44937</v>
      </c>
      <c r="B516" s="2">
        <v>36345</v>
      </c>
      <c r="C516" s="3">
        <f>(VOO_data[[#This Row],[Último]]/B515)-1</f>
        <v>1.2762281606152559E-2</v>
      </c>
    </row>
    <row r="517" spans="1:3" x14ac:dyDescent="0.25">
      <c r="A517" s="1">
        <v>44938</v>
      </c>
      <c r="B517" s="2">
        <v>36481</v>
      </c>
      <c r="C517" s="3">
        <f>(VOO_data[[#This Row],[Último]]/B516)-1</f>
        <v>3.7419177328381625E-3</v>
      </c>
    </row>
    <row r="518" spans="1:3" x14ac:dyDescent="0.25">
      <c r="A518" s="1">
        <v>44939</v>
      </c>
      <c r="B518" s="2">
        <v>36623</v>
      </c>
      <c r="C518" s="3">
        <f>(VOO_data[[#This Row],[Último]]/B517)-1</f>
        <v>3.8924371590691731E-3</v>
      </c>
    </row>
    <row r="519" spans="1:3" x14ac:dyDescent="0.25">
      <c r="A519" s="1">
        <v>44943</v>
      </c>
      <c r="B519" s="2">
        <v>36567</v>
      </c>
      <c r="C519" s="3">
        <f>(VOO_data[[#This Row],[Último]]/B518)-1</f>
        <v>-1.5290937389071946E-3</v>
      </c>
    </row>
    <row r="520" spans="1:3" x14ac:dyDescent="0.25">
      <c r="A520" s="1">
        <v>44944</v>
      </c>
      <c r="B520" s="2">
        <v>35973</v>
      </c>
      <c r="C520" s="3">
        <f>(VOO_data[[#This Row],[Último]]/B519)-1</f>
        <v>-1.6244154565591917E-2</v>
      </c>
    </row>
    <row r="521" spans="1:3" x14ac:dyDescent="0.25">
      <c r="A521" s="1">
        <v>44945</v>
      </c>
      <c r="B521" s="2">
        <v>35714</v>
      </c>
      <c r="C521" s="3">
        <f>(VOO_data[[#This Row],[Último]]/B520)-1</f>
        <v>-7.1998443276901636E-3</v>
      </c>
    </row>
    <row r="522" spans="1:3" x14ac:dyDescent="0.25">
      <c r="A522" s="1">
        <v>44946</v>
      </c>
      <c r="B522" s="2">
        <v>36371</v>
      </c>
      <c r="C522" s="3">
        <f>(VOO_data[[#This Row],[Último]]/B521)-1</f>
        <v>1.8396147169177368E-2</v>
      </c>
    </row>
    <row r="523" spans="1:3" x14ac:dyDescent="0.25">
      <c r="A523" s="1">
        <v>44949</v>
      </c>
      <c r="B523" s="2">
        <v>36814</v>
      </c>
      <c r="C523" s="3">
        <f>(VOO_data[[#This Row],[Último]]/B522)-1</f>
        <v>1.2180033543207403E-2</v>
      </c>
    </row>
    <row r="524" spans="1:3" x14ac:dyDescent="0.25">
      <c r="A524" s="1">
        <v>44950</v>
      </c>
      <c r="B524" s="2">
        <v>36775</v>
      </c>
      <c r="C524" s="3">
        <f>(VOO_data[[#This Row],[Último]]/B523)-1</f>
        <v>-1.0593795838539366E-3</v>
      </c>
    </row>
    <row r="525" spans="1:3" x14ac:dyDescent="0.25">
      <c r="A525" s="1">
        <v>44951</v>
      </c>
      <c r="B525" s="2">
        <v>36788</v>
      </c>
      <c r="C525" s="3">
        <f>(VOO_data[[#This Row],[Último]]/B524)-1</f>
        <v>3.535010197144306E-4</v>
      </c>
    </row>
    <row r="526" spans="1:3" x14ac:dyDescent="0.25">
      <c r="A526" s="1">
        <v>44952</v>
      </c>
      <c r="B526" s="2">
        <v>37181</v>
      </c>
      <c r="C526" s="3">
        <f>(VOO_data[[#This Row],[Último]]/B525)-1</f>
        <v>1.0682831358051592E-2</v>
      </c>
    </row>
    <row r="527" spans="1:3" x14ac:dyDescent="0.25">
      <c r="A527" s="1">
        <v>44953</v>
      </c>
      <c r="B527" s="2">
        <v>37287</v>
      </c>
      <c r="C527" s="3">
        <f>(VOO_data[[#This Row],[Último]]/B526)-1</f>
        <v>2.8509184798688469E-3</v>
      </c>
    </row>
    <row r="528" spans="1:3" x14ac:dyDescent="0.25">
      <c r="A528" s="1">
        <v>44956</v>
      </c>
      <c r="B528" s="2">
        <v>36821</v>
      </c>
      <c r="C528" s="3">
        <f>(VOO_data[[#This Row],[Último]]/B527)-1</f>
        <v>-1.2497653337624426E-2</v>
      </c>
    </row>
    <row r="529" spans="1:3" x14ac:dyDescent="0.25">
      <c r="A529" s="1">
        <v>44957</v>
      </c>
      <c r="B529" s="2">
        <v>37344</v>
      </c>
      <c r="C529" s="3">
        <f>(VOO_data[[#This Row],[Último]]/B528)-1</f>
        <v>1.4203851063251838E-2</v>
      </c>
    </row>
    <row r="530" spans="1:3" x14ac:dyDescent="0.25">
      <c r="A530" s="1">
        <v>44958</v>
      </c>
      <c r="B530" s="2">
        <v>37753</v>
      </c>
      <c r="C530" s="3">
        <f>(VOO_data[[#This Row],[Último]]/B529)-1</f>
        <v>1.0952227934875713E-2</v>
      </c>
    </row>
    <row r="531" spans="1:3" x14ac:dyDescent="0.25">
      <c r="A531" s="1">
        <v>44959</v>
      </c>
      <c r="B531" s="2">
        <v>38294</v>
      </c>
      <c r="C531" s="3">
        <f>(VOO_data[[#This Row],[Último]]/B530)-1</f>
        <v>1.4329987020899049E-2</v>
      </c>
    </row>
    <row r="532" spans="1:3" x14ac:dyDescent="0.25">
      <c r="A532" s="1">
        <v>44960</v>
      </c>
      <c r="B532" s="2">
        <v>37885</v>
      </c>
      <c r="C532" s="3">
        <f>(VOO_data[[#This Row],[Último]]/B531)-1</f>
        <v>-1.068052436413014E-2</v>
      </c>
    </row>
    <row r="533" spans="1:3" x14ac:dyDescent="0.25">
      <c r="A533" s="1">
        <v>44963</v>
      </c>
      <c r="B533" s="2">
        <v>37666</v>
      </c>
      <c r="C533" s="3">
        <f>(VOO_data[[#This Row],[Último]]/B532)-1</f>
        <v>-5.7806519730764228E-3</v>
      </c>
    </row>
    <row r="534" spans="1:3" x14ac:dyDescent="0.25">
      <c r="A534" s="1">
        <v>44964</v>
      </c>
      <c r="B534" s="2">
        <v>38152</v>
      </c>
      <c r="C534" s="3">
        <f>(VOO_data[[#This Row],[Último]]/B533)-1</f>
        <v>1.2902883236871387E-2</v>
      </c>
    </row>
    <row r="535" spans="1:3" x14ac:dyDescent="0.25">
      <c r="A535" s="1">
        <v>44965</v>
      </c>
      <c r="B535" s="2">
        <v>37734</v>
      </c>
      <c r="C535" s="3">
        <f>(VOO_data[[#This Row],[Último]]/B534)-1</f>
        <v>-1.0956175298804771E-2</v>
      </c>
    </row>
    <row r="536" spans="1:3" x14ac:dyDescent="0.25">
      <c r="A536" s="1">
        <v>44966</v>
      </c>
      <c r="B536" s="2">
        <v>37411</v>
      </c>
      <c r="C536" s="3">
        <f>(VOO_data[[#This Row],[Último]]/B535)-1</f>
        <v>-8.5599194360523878E-3</v>
      </c>
    </row>
    <row r="537" spans="1:3" x14ac:dyDescent="0.25">
      <c r="A537" s="1">
        <v>44967</v>
      </c>
      <c r="B537" s="2">
        <v>37502</v>
      </c>
      <c r="C537" s="3">
        <f>(VOO_data[[#This Row],[Último]]/B536)-1</f>
        <v>2.4324396567854123E-3</v>
      </c>
    </row>
    <row r="538" spans="1:3" x14ac:dyDescent="0.25">
      <c r="A538" s="1">
        <v>44970</v>
      </c>
      <c r="B538" s="2">
        <v>37935</v>
      </c>
      <c r="C538" s="3">
        <f>(VOO_data[[#This Row],[Último]]/B537)-1</f>
        <v>1.154605087728644E-2</v>
      </c>
    </row>
    <row r="539" spans="1:3" x14ac:dyDescent="0.25">
      <c r="A539" s="1">
        <v>44971</v>
      </c>
      <c r="B539" s="2">
        <v>37921</v>
      </c>
      <c r="C539" s="3">
        <f>(VOO_data[[#This Row],[Último]]/B538)-1</f>
        <v>-3.6905232634765195E-4</v>
      </c>
    </row>
    <row r="540" spans="1:3" x14ac:dyDescent="0.25">
      <c r="A540" s="1">
        <v>44972</v>
      </c>
      <c r="B540" s="2">
        <v>38048</v>
      </c>
      <c r="C540" s="3">
        <f>(VOO_data[[#This Row],[Último]]/B539)-1</f>
        <v>3.349067798845029E-3</v>
      </c>
    </row>
    <row r="541" spans="1:3" x14ac:dyDescent="0.25">
      <c r="A541" s="1">
        <v>44973</v>
      </c>
      <c r="B541" s="2">
        <v>37519</v>
      </c>
      <c r="C541" s="3">
        <f>(VOO_data[[#This Row],[Último]]/B540)-1</f>
        <v>-1.3903490328006751E-2</v>
      </c>
    </row>
    <row r="542" spans="1:3" x14ac:dyDescent="0.25">
      <c r="A542" s="1">
        <v>44974</v>
      </c>
      <c r="B542" s="2">
        <v>37422</v>
      </c>
      <c r="C542" s="3">
        <f>(VOO_data[[#This Row],[Último]]/B541)-1</f>
        <v>-2.5853567525786492E-3</v>
      </c>
    </row>
    <row r="543" spans="1:3" x14ac:dyDescent="0.25">
      <c r="A543" s="1">
        <v>44978</v>
      </c>
      <c r="B543" s="2">
        <v>36679</v>
      </c>
      <c r="C543" s="3">
        <f>(VOO_data[[#This Row],[Último]]/B542)-1</f>
        <v>-1.9854630965742026E-2</v>
      </c>
    </row>
    <row r="544" spans="1:3" x14ac:dyDescent="0.25">
      <c r="A544" s="1">
        <v>44979</v>
      </c>
      <c r="B544" s="2">
        <v>36633</v>
      </c>
      <c r="C544" s="3">
        <f>(VOO_data[[#This Row],[Último]]/B543)-1</f>
        <v>-1.2541236129665068E-3</v>
      </c>
    </row>
    <row r="545" spans="1:3" x14ac:dyDescent="0.25">
      <c r="A545" s="1">
        <v>44980</v>
      </c>
      <c r="B545" s="2">
        <v>36817</v>
      </c>
      <c r="C545" s="3">
        <f>(VOO_data[[#This Row],[Último]]/B544)-1</f>
        <v>5.0227936559932296E-3</v>
      </c>
    </row>
    <row r="546" spans="1:3" x14ac:dyDescent="0.25">
      <c r="A546" s="1">
        <v>44981</v>
      </c>
      <c r="B546" s="2">
        <v>36423</v>
      </c>
      <c r="C546" s="3">
        <f>(VOO_data[[#This Row],[Último]]/B545)-1</f>
        <v>-1.0701578075345664E-2</v>
      </c>
    </row>
    <row r="547" spans="1:3" x14ac:dyDescent="0.25">
      <c r="A547" s="1">
        <v>44984</v>
      </c>
      <c r="B547" s="2">
        <v>36549</v>
      </c>
      <c r="C547" s="3">
        <f>(VOO_data[[#This Row],[Último]]/B546)-1</f>
        <v>3.4593526068693592E-3</v>
      </c>
    </row>
    <row r="548" spans="1:3" x14ac:dyDescent="0.25">
      <c r="A548" s="1">
        <v>44985</v>
      </c>
      <c r="B548" s="2">
        <v>36411</v>
      </c>
      <c r="C548" s="3">
        <f>(VOO_data[[#This Row],[Último]]/B547)-1</f>
        <v>-3.7757530985800258E-3</v>
      </c>
    </row>
    <row r="549" spans="1:3" x14ac:dyDescent="0.25">
      <c r="A549" s="1">
        <v>44986</v>
      </c>
      <c r="B549" s="2">
        <v>36278</v>
      </c>
      <c r="C549" s="3">
        <f>(VOO_data[[#This Row],[Último]]/B548)-1</f>
        <v>-3.6527423031501582E-3</v>
      </c>
    </row>
    <row r="550" spans="1:3" x14ac:dyDescent="0.25">
      <c r="A550" s="1">
        <v>44987</v>
      </c>
      <c r="B550" s="2">
        <v>36549</v>
      </c>
      <c r="C550" s="3">
        <f>(VOO_data[[#This Row],[Último]]/B549)-1</f>
        <v>7.4700920668173687E-3</v>
      </c>
    </row>
    <row r="551" spans="1:3" x14ac:dyDescent="0.25">
      <c r="A551" s="1">
        <v>44988</v>
      </c>
      <c r="B551" s="2">
        <v>37128</v>
      </c>
      <c r="C551" s="3">
        <f>(VOO_data[[#This Row],[Último]]/B550)-1</f>
        <v>1.5841746696215964E-2</v>
      </c>
    </row>
    <row r="552" spans="1:3" x14ac:dyDescent="0.25">
      <c r="A552" s="1">
        <v>44991</v>
      </c>
      <c r="B552" s="2">
        <v>37173</v>
      </c>
      <c r="C552" s="3">
        <f>(VOO_data[[#This Row],[Último]]/B551)-1</f>
        <v>1.212023270846796E-3</v>
      </c>
    </row>
    <row r="553" spans="1:3" x14ac:dyDescent="0.25">
      <c r="A553" s="1">
        <v>44992</v>
      </c>
      <c r="B553" s="2">
        <v>36598</v>
      </c>
      <c r="C553" s="3">
        <f>(VOO_data[[#This Row],[Último]]/B552)-1</f>
        <v>-1.54682161784091E-2</v>
      </c>
    </row>
    <row r="554" spans="1:3" x14ac:dyDescent="0.25">
      <c r="A554" s="1">
        <v>44993</v>
      </c>
      <c r="B554" s="2">
        <v>36655</v>
      </c>
      <c r="C554" s="3">
        <f>(VOO_data[[#This Row],[Último]]/B553)-1</f>
        <v>1.5574621564020674E-3</v>
      </c>
    </row>
    <row r="555" spans="1:3" x14ac:dyDescent="0.25">
      <c r="A555" s="1">
        <v>44994</v>
      </c>
      <c r="B555" s="2">
        <v>35984</v>
      </c>
      <c r="C555" s="3">
        <f>(VOO_data[[#This Row],[Último]]/B554)-1</f>
        <v>-1.8305824580548302E-2</v>
      </c>
    </row>
    <row r="556" spans="1:3" x14ac:dyDescent="0.25">
      <c r="A556" s="1">
        <v>44995</v>
      </c>
      <c r="B556" s="2">
        <v>35468</v>
      </c>
      <c r="C556" s="3">
        <f>(VOO_data[[#This Row],[Último]]/B555)-1</f>
        <v>-1.4339706536238284E-2</v>
      </c>
    </row>
    <row r="557" spans="1:3" x14ac:dyDescent="0.25">
      <c r="A557" s="1">
        <v>44998</v>
      </c>
      <c r="B557" s="2">
        <v>35408</v>
      </c>
      <c r="C557" s="3">
        <f>(VOO_data[[#This Row],[Último]]/B556)-1</f>
        <v>-1.6916657268524204E-3</v>
      </c>
    </row>
    <row r="558" spans="1:3" x14ac:dyDescent="0.25">
      <c r="A558" s="1">
        <v>44999</v>
      </c>
      <c r="B558" s="2">
        <v>35996</v>
      </c>
      <c r="C558" s="3">
        <f>(VOO_data[[#This Row],[Último]]/B557)-1</f>
        <v>1.6606416629010301E-2</v>
      </c>
    </row>
    <row r="559" spans="1:3" x14ac:dyDescent="0.25">
      <c r="A559" s="1">
        <v>45000</v>
      </c>
      <c r="B559" s="2">
        <v>35774</v>
      </c>
      <c r="C559" s="3">
        <f>(VOO_data[[#This Row],[Último]]/B558)-1</f>
        <v>-6.1673519279920042E-3</v>
      </c>
    </row>
    <row r="560" spans="1:3" x14ac:dyDescent="0.25">
      <c r="A560" s="1">
        <v>45001</v>
      </c>
      <c r="B560" s="2">
        <v>36386</v>
      </c>
      <c r="C560" s="3">
        <f>(VOO_data[[#This Row],[Último]]/B559)-1</f>
        <v>1.7107396433163835E-2</v>
      </c>
    </row>
    <row r="561" spans="1:3" x14ac:dyDescent="0.25">
      <c r="A561" s="1">
        <v>45002</v>
      </c>
      <c r="B561" s="2">
        <v>35988</v>
      </c>
      <c r="C561" s="3">
        <f>(VOO_data[[#This Row],[Último]]/B560)-1</f>
        <v>-1.0938272962128237E-2</v>
      </c>
    </row>
    <row r="562" spans="1:3" x14ac:dyDescent="0.25">
      <c r="A562" s="1">
        <v>45005</v>
      </c>
      <c r="B562" s="2">
        <v>36313</v>
      </c>
      <c r="C562" s="3">
        <f>(VOO_data[[#This Row],[Último]]/B561)-1</f>
        <v>9.0307880404578711E-3</v>
      </c>
    </row>
    <row r="563" spans="1:3" x14ac:dyDescent="0.25">
      <c r="A563" s="1">
        <v>45006</v>
      </c>
      <c r="B563" s="2">
        <v>36788</v>
      </c>
      <c r="C563" s="3">
        <f>(VOO_data[[#This Row],[Último]]/B562)-1</f>
        <v>1.3080714895491896E-2</v>
      </c>
    </row>
    <row r="564" spans="1:3" x14ac:dyDescent="0.25">
      <c r="A564" s="1">
        <v>45007</v>
      </c>
      <c r="B564" s="2">
        <v>36178</v>
      </c>
      <c r="C564" s="3">
        <f>(VOO_data[[#This Row],[Último]]/B563)-1</f>
        <v>-1.6581493965423522E-2</v>
      </c>
    </row>
    <row r="565" spans="1:3" x14ac:dyDescent="0.25">
      <c r="A565" s="1">
        <v>45008</v>
      </c>
      <c r="B565" s="2">
        <v>36264</v>
      </c>
      <c r="C565" s="3">
        <f>(VOO_data[[#This Row],[Último]]/B564)-1</f>
        <v>2.3771352755819208E-3</v>
      </c>
    </row>
    <row r="566" spans="1:3" x14ac:dyDescent="0.25">
      <c r="A566" s="1">
        <v>45009</v>
      </c>
      <c r="B566" s="2">
        <v>36356</v>
      </c>
      <c r="C566" s="3">
        <f>(VOO_data[[#This Row],[Último]]/B565)-1</f>
        <v>2.5369512464152866E-3</v>
      </c>
    </row>
    <row r="567" spans="1:3" x14ac:dyDescent="0.25">
      <c r="A567" s="1">
        <v>45012</v>
      </c>
      <c r="B567" s="2">
        <v>36416</v>
      </c>
      <c r="C567" s="3">
        <f>(VOO_data[[#This Row],[Último]]/B566)-1</f>
        <v>1.6503465727801814E-3</v>
      </c>
    </row>
    <row r="568" spans="1:3" x14ac:dyDescent="0.25">
      <c r="A568" s="1">
        <v>45013</v>
      </c>
      <c r="B568" s="2">
        <v>36352</v>
      </c>
      <c r="C568" s="3">
        <f>(VOO_data[[#This Row],[Último]]/B567)-1</f>
        <v>-1.7574692442882123E-3</v>
      </c>
    </row>
    <row r="569" spans="1:3" x14ac:dyDescent="0.25">
      <c r="A569" s="1">
        <v>45014</v>
      </c>
      <c r="B569" s="2">
        <v>36869</v>
      </c>
      <c r="C569" s="3">
        <f>(VOO_data[[#This Row],[Último]]/B568)-1</f>
        <v>1.4222051056338003E-2</v>
      </c>
    </row>
    <row r="570" spans="1:3" x14ac:dyDescent="0.25">
      <c r="A570" s="1">
        <v>45015</v>
      </c>
      <c r="B570" s="2">
        <v>37089</v>
      </c>
      <c r="C570" s="3">
        <f>(VOO_data[[#This Row],[Último]]/B569)-1</f>
        <v>5.9670726084244397E-3</v>
      </c>
    </row>
    <row r="571" spans="1:3" x14ac:dyDescent="0.25">
      <c r="A571" s="1">
        <v>45016</v>
      </c>
      <c r="B571" s="2">
        <v>37607</v>
      </c>
      <c r="C571" s="3">
        <f>(VOO_data[[#This Row],[Último]]/B570)-1</f>
        <v>1.3966405133597481E-2</v>
      </c>
    </row>
    <row r="572" spans="1:3" x14ac:dyDescent="0.25">
      <c r="A572" s="1">
        <v>45019</v>
      </c>
      <c r="B572" s="2">
        <v>37756</v>
      </c>
      <c r="C572" s="3">
        <f>(VOO_data[[#This Row],[Último]]/B571)-1</f>
        <v>3.9620283457866279E-3</v>
      </c>
    </row>
    <row r="573" spans="1:3" x14ac:dyDescent="0.25">
      <c r="A573" s="1">
        <v>45020</v>
      </c>
      <c r="B573" s="2">
        <v>37543</v>
      </c>
      <c r="C573" s="3">
        <f>(VOO_data[[#This Row],[Último]]/B572)-1</f>
        <v>-5.6414874457040298E-3</v>
      </c>
    </row>
    <row r="574" spans="1:3" x14ac:dyDescent="0.25">
      <c r="A574" s="1">
        <v>45021</v>
      </c>
      <c r="B574" s="2">
        <v>37452</v>
      </c>
      <c r="C574" s="3">
        <f>(VOO_data[[#This Row],[Último]]/B573)-1</f>
        <v>-2.4238872759235752E-3</v>
      </c>
    </row>
    <row r="575" spans="1:3" x14ac:dyDescent="0.25">
      <c r="A575" s="1">
        <v>45022</v>
      </c>
      <c r="B575" s="2">
        <v>37595</v>
      </c>
      <c r="C575" s="3">
        <f>(VOO_data[[#This Row],[Último]]/B574)-1</f>
        <v>3.8182206557726417E-3</v>
      </c>
    </row>
    <row r="576" spans="1:3" x14ac:dyDescent="0.25">
      <c r="A576" s="1">
        <v>45026</v>
      </c>
      <c r="B576" s="2">
        <v>37636</v>
      </c>
      <c r="C576" s="3">
        <f>(VOO_data[[#This Row],[Último]]/B575)-1</f>
        <v>1.0905705545949385E-3</v>
      </c>
    </row>
    <row r="577" spans="1:3" x14ac:dyDescent="0.25">
      <c r="A577" s="1">
        <v>45027</v>
      </c>
      <c r="B577" s="2">
        <v>37641</v>
      </c>
      <c r="C577" s="3">
        <f>(VOO_data[[#This Row],[Último]]/B576)-1</f>
        <v>1.3285152513553555E-4</v>
      </c>
    </row>
    <row r="578" spans="1:3" x14ac:dyDescent="0.25">
      <c r="A578" s="1">
        <v>45028</v>
      </c>
      <c r="B578" s="2">
        <v>37491</v>
      </c>
      <c r="C578" s="3">
        <f>(VOO_data[[#This Row],[Último]]/B577)-1</f>
        <v>-3.9850163385669601E-3</v>
      </c>
    </row>
    <row r="579" spans="1:3" x14ac:dyDescent="0.25">
      <c r="A579" s="1">
        <v>45029</v>
      </c>
      <c r="B579" s="2">
        <v>37977</v>
      </c>
      <c r="C579" s="3">
        <f>(VOO_data[[#This Row],[Último]]/B578)-1</f>
        <v>1.2963111146675255E-2</v>
      </c>
    </row>
    <row r="580" spans="1:3" x14ac:dyDescent="0.25">
      <c r="A580" s="1">
        <v>45030</v>
      </c>
      <c r="B580" s="2">
        <v>37899</v>
      </c>
      <c r="C580" s="3">
        <f>(VOO_data[[#This Row],[Último]]/B579)-1</f>
        <v>-2.0538747136424895E-3</v>
      </c>
    </row>
    <row r="581" spans="1:3" x14ac:dyDescent="0.25">
      <c r="A581" s="1">
        <v>45033</v>
      </c>
      <c r="B581" s="2">
        <v>38028</v>
      </c>
      <c r="C581" s="3">
        <f>(VOO_data[[#This Row],[Último]]/B580)-1</f>
        <v>3.4037837409957028E-3</v>
      </c>
    </row>
    <row r="582" spans="1:3" x14ac:dyDescent="0.25">
      <c r="A582" s="1">
        <v>45034</v>
      </c>
      <c r="B582" s="2">
        <v>38054</v>
      </c>
      <c r="C582" s="3">
        <f>(VOO_data[[#This Row],[Último]]/B581)-1</f>
        <v>6.8370674240036955E-4</v>
      </c>
    </row>
    <row r="583" spans="1:3" x14ac:dyDescent="0.25">
      <c r="A583" s="1">
        <v>45035</v>
      </c>
      <c r="B583" s="2">
        <v>38052</v>
      </c>
      <c r="C583" s="3">
        <f>(VOO_data[[#This Row],[Último]]/B582)-1</f>
        <v>-5.2556892836452818E-5</v>
      </c>
    </row>
    <row r="584" spans="1:3" x14ac:dyDescent="0.25">
      <c r="A584" s="1">
        <v>45036</v>
      </c>
      <c r="B584" s="2">
        <v>37837</v>
      </c>
      <c r="C584" s="3">
        <f>(VOO_data[[#This Row],[Último]]/B583)-1</f>
        <v>-5.6501629349311466E-3</v>
      </c>
    </row>
    <row r="585" spans="1:3" x14ac:dyDescent="0.25">
      <c r="A585" s="1">
        <v>45037</v>
      </c>
      <c r="B585" s="2">
        <v>37859</v>
      </c>
      <c r="C585" s="3">
        <f>(VOO_data[[#This Row],[Último]]/B584)-1</f>
        <v>5.8144144620353444E-4</v>
      </c>
    </row>
    <row r="586" spans="1:3" x14ac:dyDescent="0.25">
      <c r="A586" s="1">
        <v>45040</v>
      </c>
      <c r="B586" s="2">
        <v>37909</v>
      </c>
      <c r="C586" s="3">
        <f>(VOO_data[[#This Row],[Último]]/B585)-1</f>
        <v>1.3206899284186058E-3</v>
      </c>
    </row>
    <row r="587" spans="1:3" x14ac:dyDescent="0.25">
      <c r="A587" s="1">
        <v>45041</v>
      </c>
      <c r="B587" s="2">
        <v>37310</v>
      </c>
      <c r="C587" s="3">
        <f>(VOO_data[[#This Row],[Último]]/B586)-1</f>
        <v>-1.5800997124693295E-2</v>
      </c>
    </row>
    <row r="588" spans="1:3" x14ac:dyDescent="0.25">
      <c r="A588" s="1">
        <v>45042</v>
      </c>
      <c r="B588" s="2">
        <v>37144</v>
      </c>
      <c r="C588" s="3">
        <f>(VOO_data[[#This Row],[Último]]/B587)-1</f>
        <v>-4.449209327258119E-3</v>
      </c>
    </row>
    <row r="589" spans="1:3" x14ac:dyDescent="0.25">
      <c r="A589" s="1">
        <v>45043</v>
      </c>
      <c r="B589" s="2">
        <v>37881</v>
      </c>
      <c r="C589" s="3">
        <f>(VOO_data[[#This Row],[Último]]/B588)-1</f>
        <v>1.9841697178548445E-2</v>
      </c>
    </row>
    <row r="590" spans="1:3" x14ac:dyDescent="0.25">
      <c r="A590" s="1">
        <v>45044</v>
      </c>
      <c r="B590" s="2">
        <v>38205</v>
      </c>
      <c r="C590" s="3">
        <f>(VOO_data[[#This Row],[Último]]/B589)-1</f>
        <v>8.5531004989307657E-3</v>
      </c>
    </row>
    <row r="591" spans="1:3" x14ac:dyDescent="0.25">
      <c r="A591" s="1">
        <v>45047</v>
      </c>
      <c r="B591" s="2">
        <v>38179</v>
      </c>
      <c r="C591" s="3">
        <f>(VOO_data[[#This Row],[Último]]/B590)-1</f>
        <v>-6.8053919644028849E-4</v>
      </c>
    </row>
    <row r="592" spans="1:3" x14ac:dyDescent="0.25">
      <c r="A592" s="1">
        <v>45048</v>
      </c>
      <c r="B592" s="2">
        <v>37751</v>
      </c>
      <c r="C592" s="3">
        <f>(VOO_data[[#This Row],[Último]]/B591)-1</f>
        <v>-1.1210351240210636E-2</v>
      </c>
    </row>
    <row r="593" spans="1:3" x14ac:dyDescent="0.25">
      <c r="A593" s="1">
        <v>45049</v>
      </c>
      <c r="B593" s="2">
        <v>37488</v>
      </c>
      <c r="C593" s="3">
        <f>(VOO_data[[#This Row],[Último]]/B592)-1</f>
        <v>-6.9667028687981913E-3</v>
      </c>
    </row>
    <row r="594" spans="1:3" x14ac:dyDescent="0.25">
      <c r="A594" s="1">
        <v>45050</v>
      </c>
      <c r="B594" s="2">
        <v>37214</v>
      </c>
      <c r="C594" s="3">
        <f>(VOO_data[[#This Row],[Último]]/B593)-1</f>
        <v>-7.3090055484421601E-3</v>
      </c>
    </row>
    <row r="595" spans="1:3" x14ac:dyDescent="0.25">
      <c r="A595" s="1">
        <v>45051</v>
      </c>
      <c r="B595" s="2">
        <v>37897</v>
      </c>
      <c r="C595" s="3">
        <f>(VOO_data[[#This Row],[Último]]/B594)-1</f>
        <v>1.8353307894878323E-2</v>
      </c>
    </row>
    <row r="596" spans="1:3" x14ac:dyDescent="0.25">
      <c r="A596" s="1">
        <v>45054</v>
      </c>
      <c r="B596" s="2">
        <v>37918</v>
      </c>
      <c r="C596" s="3">
        <f>(VOO_data[[#This Row],[Último]]/B595)-1</f>
        <v>5.5413357257827478E-4</v>
      </c>
    </row>
    <row r="597" spans="1:3" x14ac:dyDescent="0.25">
      <c r="A597" s="1">
        <v>45055</v>
      </c>
      <c r="B597" s="2">
        <v>37754</v>
      </c>
      <c r="C597" s="3">
        <f>(VOO_data[[#This Row],[Último]]/B596)-1</f>
        <v>-4.3251226330502934E-3</v>
      </c>
    </row>
    <row r="598" spans="1:3" x14ac:dyDescent="0.25">
      <c r="A598" s="1">
        <v>45056</v>
      </c>
      <c r="B598" s="2">
        <v>37919</v>
      </c>
      <c r="C598" s="3">
        <f>(VOO_data[[#This Row],[Último]]/B597)-1</f>
        <v>4.3703978386395725E-3</v>
      </c>
    </row>
    <row r="599" spans="1:3" x14ac:dyDescent="0.25">
      <c r="A599" s="1">
        <v>45057</v>
      </c>
      <c r="B599" s="2">
        <v>37866</v>
      </c>
      <c r="C599" s="3">
        <f>(VOO_data[[#This Row],[Último]]/B598)-1</f>
        <v>-1.3977161844985764E-3</v>
      </c>
    </row>
    <row r="600" spans="1:3" x14ac:dyDescent="0.25">
      <c r="A600" s="1">
        <v>45058</v>
      </c>
      <c r="B600" s="2">
        <v>37815</v>
      </c>
      <c r="C600" s="3">
        <f>(VOO_data[[#This Row],[Último]]/B599)-1</f>
        <v>-1.3468546981461049E-3</v>
      </c>
    </row>
    <row r="601" spans="1:3" x14ac:dyDescent="0.25">
      <c r="A601" s="1">
        <v>45061</v>
      </c>
      <c r="B601" s="2">
        <v>37946</v>
      </c>
      <c r="C601" s="3">
        <f>(VOO_data[[#This Row],[Último]]/B600)-1</f>
        <v>3.4642337696682013E-3</v>
      </c>
    </row>
    <row r="602" spans="1:3" x14ac:dyDescent="0.25">
      <c r="A602" s="1">
        <v>45062</v>
      </c>
      <c r="B602" s="2">
        <v>37695</v>
      </c>
      <c r="C602" s="3">
        <f>(VOO_data[[#This Row],[Último]]/B601)-1</f>
        <v>-6.6146629420755776E-3</v>
      </c>
    </row>
    <row r="603" spans="1:3" x14ac:dyDescent="0.25">
      <c r="A603" s="1">
        <v>45063</v>
      </c>
      <c r="B603" s="2">
        <v>38145</v>
      </c>
      <c r="C603" s="3">
        <f>(VOO_data[[#This Row],[Último]]/B602)-1</f>
        <v>1.1937922801432466E-2</v>
      </c>
    </row>
    <row r="604" spans="1:3" x14ac:dyDescent="0.25">
      <c r="A604" s="1">
        <v>45064</v>
      </c>
      <c r="B604" s="2">
        <v>38518</v>
      </c>
      <c r="C604" s="3">
        <f>(VOO_data[[#This Row],[Último]]/B603)-1</f>
        <v>9.7784768645956532E-3</v>
      </c>
    </row>
    <row r="605" spans="1:3" x14ac:dyDescent="0.25">
      <c r="A605" s="1">
        <v>45065</v>
      </c>
      <c r="B605" s="2">
        <v>38457</v>
      </c>
      <c r="C605" s="3">
        <f>(VOO_data[[#This Row],[Último]]/B604)-1</f>
        <v>-1.5836751648580227E-3</v>
      </c>
    </row>
    <row r="606" spans="1:3" x14ac:dyDescent="0.25">
      <c r="A606" s="1">
        <v>45068</v>
      </c>
      <c r="B606" s="2">
        <v>38478</v>
      </c>
      <c r="C606" s="3">
        <f>(VOO_data[[#This Row],[Último]]/B605)-1</f>
        <v>5.4606443560345497E-4</v>
      </c>
    </row>
    <row r="607" spans="1:3" x14ac:dyDescent="0.25">
      <c r="A607" s="1">
        <v>45069</v>
      </c>
      <c r="B607" s="2">
        <v>38048</v>
      </c>
      <c r="C607" s="3">
        <f>(VOO_data[[#This Row],[Último]]/B606)-1</f>
        <v>-1.1175217007120986E-2</v>
      </c>
    </row>
    <row r="608" spans="1:3" x14ac:dyDescent="0.25">
      <c r="A608" s="1">
        <v>45070</v>
      </c>
      <c r="B608" s="2">
        <v>37763</v>
      </c>
      <c r="C608" s="3">
        <f>(VOO_data[[#This Row],[Último]]/B607)-1</f>
        <v>-7.4905382674516074E-3</v>
      </c>
    </row>
    <row r="609" spans="1:3" x14ac:dyDescent="0.25">
      <c r="A609" s="1">
        <v>45071</v>
      </c>
      <c r="B609" s="2">
        <v>38092</v>
      </c>
      <c r="C609" s="3">
        <f>(VOO_data[[#This Row],[Último]]/B608)-1</f>
        <v>8.7122315494001512E-3</v>
      </c>
    </row>
    <row r="610" spans="1:3" x14ac:dyDescent="0.25">
      <c r="A610" s="1">
        <v>45072</v>
      </c>
      <c r="B610" s="2">
        <v>38587</v>
      </c>
      <c r="C610" s="3">
        <f>(VOO_data[[#This Row],[Último]]/B609)-1</f>
        <v>1.2994854562637714E-2</v>
      </c>
    </row>
    <row r="611" spans="1:3" x14ac:dyDescent="0.25">
      <c r="A611" s="1">
        <v>45076</v>
      </c>
      <c r="B611" s="2">
        <v>38599</v>
      </c>
      <c r="C611" s="3">
        <f>(VOO_data[[#This Row],[Último]]/B610)-1</f>
        <v>3.1098556508668551E-4</v>
      </c>
    </row>
    <row r="612" spans="1:3" x14ac:dyDescent="0.25">
      <c r="A612" s="1">
        <v>45077</v>
      </c>
      <c r="B612" s="2">
        <v>38389</v>
      </c>
      <c r="C612" s="3">
        <f>(VOO_data[[#This Row],[Último]]/B611)-1</f>
        <v>-5.4405554548044854E-3</v>
      </c>
    </row>
    <row r="613" spans="1:3" x14ac:dyDescent="0.25">
      <c r="A613" s="1">
        <v>45078</v>
      </c>
      <c r="B613" s="2">
        <v>38757</v>
      </c>
      <c r="C613" s="3">
        <f>(VOO_data[[#This Row],[Último]]/B612)-1</f>
        <v>9.5860793456459259E-3</v>
      </c>
    </row>
    <row r="614" spans="1:3" x14ac:dyDescent="0.25">
      <c r="A614" s="1">
        <v>45079</v>
      </c>
      <c r="B614" s="2">
        <v>39326</v>
      </c>
      <c r="C614" s="3">
        <f>(VOO_data[[#This Row],[Último]]/B613)-1</f>
        <v>1.468121887659013E-2</v>
      </c>
    </row>
    <row r="615" spans="1:3" x14ac:dyDescent="0.25">
      <c r="A615" s="1">
        <v>45082</v>
      </c>
      <c r="B615" s="2">
        <v>39250</v>
      </c>
      <c r="C615" s="3">
        <f>(VOO_data[[#This Row],[Último]]/B614)-1</f>
        <v>-1.932563698316625E-3</v>
      </c>
    </row>
    <row r="616" spans="1:3" x14ac:dyDescent="0.25">
      <c r="A616" s="1">
        <v>45083</v>
      </c>
      <c r="B616" s="2">
        <v>39331</v>
      </c>
      <c r="C616" s="3">
        <f>(VOO_data[[#This Row],[Último]]/B615)-1</f>
        <v>2.0636942675158476E-3</v>
      </c>
    </row>
    <row r="617" spans="1:3" x14ac:dyDescent="0.25">
      <c r="A617" s="1">
        <v>45084</v>
      </c>
      <c r="B617" s="2">
        <v>39202</v>
      </c>
      <c r="C617" s="3">
        <f>(VOO_data[[#This Row],[Último]]/B616)-1</f>
        <v>-3.2798555846533795E-3</v>
      </c>
    </row>
    <row r="618" spans="1:3" x14ac:dyDescent="0.25">
      <c r="A618" s="1">
        <v>45085</v>
      </c>
      <c r="B618" s="2">
        <v>39437</v>
      </c>
      <c r="C618" s="3">
        <f>(VOO_data[[#This Row],[Último]]/B617)-1</f>
        <v>5.9945921126474122E-3</v>
      </c>
    </row>
    <row r="619" spans="1:3" x14ac:dyDescent="0.25">
      <c r="A619" s="1">
        <v>45086</v>
      </c>
      <c r="B619" s="2">
        <v>39503</v>
      </c>
      <c r="C619" s="3">
        <f>(VOO_data[[#This Row],[Último]]/B618)-1</f>
        <v>1.6735552907167772E-3</v>
      </c>
    </row>
    <row r="620" spans="1:3" x14ac:dyDescent="0.25">
      <c r="A620" s="1">
        <v>45089</v>
      </c>
      <c r="B620" s="2">
        <v>39866</v>
      </c>
      <c r="C620" s="3">
        <f>(VOO_data[[#This Row],[Último]]/B619)-1</f>
        <v>9.1891755056578983E-3</v>
      </c>
    </row>
    <row r="621" spans="1:3" x14ac:dyDescent="0.25">
      <c r="A621" s="1">
        <v>45090</v>
      </c>
      <c r="B621" s="2">
        <v>40129</v>
      </c>
      <c r="C621" s="3">
        <f>(VOO_data[[#This Row],[Último]]/B620)-1</f>
        <v>6.5971002859579464E-3</v>
      </c>
    </row>
    <row r="622" spans="1:3" x14ac:dyDescent="0.25">
      <c r="A622" s="1">
        <v>45091</v>
      </c>
      <c r="B622" s="2">
        <v>40160</v>
      </c>
      <c r="C622" s="3">
        <f>(VOO_data[[#This Row],[Último]]/B621)-1</f>
        <v>7.7250865957290138E-4</v>
      </c>
    </row>
    <row r="623" spans="1:3" x14ac:dyDescent="0.25">
      <c r="A623" s="1">
        <v>45092</v>
      </c>
      <c r="B623" s="2">
        <v>40675</v>
      </c>
      <c r="C623" s="3">
        <f>(VOO_data[[#This Row],[Último]]/B622)-1</f>
        <v>1.2823705179282774E-2</v>
      </c>
    </row>
    <row r="624" spans="1:3" x14ac:dyDescent="0.25">
      <c r="A624" s="1">
        <v>45093</v>
      </c>
      <c r="B624" s="2">
        <v>40525</v>
      </c>
      <c r="C624" s="3">
        <f>(VOO_data[[#This Row],[Último]]/B623)-1</f>
        <v>-3.6877688998155911E-3</v>
      </c>
    </row>
    <row r="625" spans="1:3" x14ac:dyDescent="0.25">
      <c r="A625" s="1">
        <v>45097</v>
      </c>
      <c r="B625" s="2">
        <v>40338</v>
      </c>
      <c r="C625" s="3">
        <f>(VOO_data[[#This Row],[Último]]/B624)-1</f>
        <v>-4.6144355336211751E-3</v>
      </c>
    </row>
    <row r="626" spans="1:3" x14ac:dyDescent="0.25">
      <c r="A626" s="1">
        <v>45098</v>
      </c>
      <c r="B626" s="2">
        <v>40117</v>
      </c>
      <c r="C626" s="3">
        <f>(VOO_data[[#This Row],[Último]]/B625)-1</f>
        <v>-5.4787049432296619E-3</v>
      </c>
    </row>
    <row r="627" spans="1:3" x14ac:dyDescent="0.25">
      <c r="A627" s="1">
        <v>45099</v>
      </c>
      <c r="B627" s="2">
        <v>40263</v>
      </c>
      <c r="C627" s="3">
        <f>(VOO_data[[#This Row],[Último]]/B626)-1</f>
        <v>3.6393548869555481E-3</v>
      </c>
    </row>
    <row r="628" spans="1:3" x14ac:dyDescent="0.25">
      <c r="A628" s="1">
        <v>45100</v>
      </c>
      <c r="B628" s="2">
        <v>39961</v>
      </c>
      <c r="C628" s="3">
        <f>(VOO_data[[#This Row],[Último]]/B627)-1</f>
        <v>-7.5006830092144705E-3</v>
      </c>
    </row>
    <row r="629" spans="1:3" x14ac:dyDescent="0.25">
      <c r="A629" s="1">
        <v>45103</v>
      </c>
      <c r="B629" s="2">
        <v>39796</v>
      </c>
      <c r="C629" s="3">
        <f>(VOO_data[[#This Row],[Último]]/B628)-1</f>
        <v>-4.1290258001551727E-3</v>
      </c>
    </row>
    <row r="630" spans="1:3" x14ac:dyDescent="0.25">
      <c r="A630" s="1">
        <v>45104</v>
      </c>
      <c r="B630" s="2">
        <v>40237</v>
      </c>
      <c r="C630" s="3">
        <f>(VOO_data[[#This Row],[Último]]/B629)-1</f>
        <v>1.1081515730224201E-2</v>
      </c>
    </row>
    <row r="631" spans="1:3" x14ac:dyDescent="0.25">
      <c r="A631" s="1">
        <v>45105</v>
      </c>
      <c r="B631" s="2">
        <v>40255</v>
      </c>
      <c r="C631" s="3">
        <f>(VOO_data[[#This Row],[Último]]/B630)-1</f>
        <v>4.4734945448210439E-4</v>
      </c>
    </row>
    <row r="632" spans="1:3" x14ac:dyDescent="0.25">
      <c r="A632" s="1">
        <v>45106</v>
      </c>
      <c r="B632" s="2">
        <v>40251</v>
      </c>
      <c r="C632" s="3">
        <f>(VOO_data[[#This Row],[Último]]/B631)-1</f>
        <v>-9.936653831821296E-5</v>
      </c>
    </row>
    <row r="633" spans="1:3" x14ac:dyDescent="0.25">
      <c r="A633" s="1">
        <v>45107</v>
      </c>
      <c r="B633" s="2">
        <v>40728</v>
      </c>
      <c r="C633" s="3">
        <f>(VOO_data[[#This Row],[Último]]/B632)-1</f>
        <v>1.1850637251248353E-2</v>
      </c>
    </row>
    <row r="634" spans="1:3" x14ac:dyDescent="0.25">
      <c r="A634" s="1">
        <v>45110</v>
      </c>
      <c r="B634" s="2">
        <v>40806</v>
      </c>
      <c r="C634" s="3">
        <f>(VOO_data[[#This Row],[Último]]/B633)-1</f>
        <v>1.9151443724219064E-3</v>
      </c>
    </row>
    <row r="635" spans="1:3" x14ac:dyDescent="0.25">
      <c r="A635" s="1">
        <v>45112</v>
      </c>
      <c r="B635" s="2">
        <v>40715</v>
      </c>
      <c r="C635" s="3">
        <f>(VOO_data[[#This Row],[Último]]/B634)-1</f>
        <v>-2.2300642062441645E-3</v>
      </c>
    </row>
    <row r="636" spans="1:3" x14ac:dyDescent="0.25">
      <c r="A636" s="1">
        <v>45113</v>
      </c>
      <c r="B636" s="2">
        <v>40383</v>
      </c>
      <c r="C636" s="3">
        <f>(VOO_data[[#This Row],[Último]]/B635)-1</f>
        <v>-8.1542429080191381E-3</v>
      </c>
    </row>
    <row r="637" spans="1:3" x14ac:dyDescent="0.25">
      <c r="A637" s="1">
        <v>45114</v>
      </c>
      <c r="B637" s="2">
        <v>40289</v>
      </c>
      <c r="C637" s="3">
        <f>(VOO_data[[#This Row],[Último]]/B636)-1</f>
        <v>-2.3277121561052772E-3</v>
      </c>
    </row>
    <row r="638" spans="1:3" x14ac:dyDescent="0.25">
      <c r="A638" s="1">
        <v>45117</v>
      </c>
      <c r="B638" s="2">
        <v>40397</v>
      </c>
      <c r="C638" s="3">
        <f>(VOO_data[[#This Row],[Último]]/B637)-1</f>
        <v>2.6806324306882789E-3</v>
      </c>
    </row>
    <row r="639" spans="1:3" x14ac:dyDescent="0.25">
      <c r="A639" s="1">
        <v>45118</v>
      </c>
      <c r="B639" s="2">
        <v>40656</v>
      </c>
      <c r="C639" s="3">
        <f>(VOO_data[[#This Row],[Último]]/B638)-1</f>
        <v>6.4113671807313199E-3</v>
      </c>
    </row>
    <row r="640" spans="1:3" x14ac:dyDescent="0.25">
      <c r="A640" s="1">
        <v>45119</v>
      </c>
      <c r="B640" s="2">
        <v>40976</v>
      </c>
      <c r="C640" s="3">
        <f>(VOO_data[[#This Row],[Último]]/B639)-1</f>
        <v>7.8709169618260688E-3</v>
      </c>
    </row>
    <row r="641" spans="1:3" x14ac:dyDescent="0.25">
      <c r="A641" s="1">
        <v>45120</v>
      </c>
      <c r="B641" s="2">
        <v>41310</v>
      </c>
      <c r="C641" s="3">
        <f>(VOO_data[[#This Row],[Último]]/B640)-1</f>
        <v>8.1511128465443505E-3</v>
      </c>
    </row>
    <row r="642" spans="1:3" x14ac:dyDescent="0.25">
      <c r="A642" s="1">
        <v>45121</v>
      </c>
      <c r="B642" s="2">
        <v>41277</v>
      </c>
      <c r="C642" s="3">
        <f>(VOO_data[[#This Row],[Último]]/B641)-1</f>
        <v>-7.9883805374003636E-4</v>
      </c>
    </row>
    <row r="643" spans="1:3" x14ac:dyDescent="0.25">
      <c r="A643" s="1">
        <v>45124</v>
      </c>
      <c r="B643" s="2">
        <v>41421</v>
      </c>
      <c r="C643" s="3">
        <f>(VOO_data[[#This Row],[Último]]/B642)-1</f>
        <v>3.4886256268624738E-3</v>
      </c>
    </row>
    <row r="644" spans="1:3" x14ac:dyDescent="0.25">
      <c r="A644" s="1">
        <v>45125</v>
      </c>
      <c r="B644" s="2">
        <v>41735</v>
      </c>
      <c r="C644" s="3">
        <f>(VOO_data[[#This Row],[Último]]/B643)-1</f>
        <v>7.5806957823325583E-3</v>
      </c>
    </row>
    <row r="645" spans="1:3" x14ac:dyDescent="0.25">
      <c r="A645" s="1">
        <v>45126</v>
      </c>
      <c r="B645" s="2">
        <v>41825</v>
      </c>
      <c r="C645" s="3">
        <f>(VOO_data[[#This Row],[Último]]/B644)-1</f>
        <v>2.1564634000239558E-3</v>
      </c>
    </row>
    <row r="646" spans="1:3" x14ac:dyDescent="0.25">
      <c r="A646" s="1">
        <v>45127</v>
      </c>
      <c r="B646" s="2">
        <v>41552</v>
      </c>
      <c r="C646" s="3">
        <f>(VOO_data[[#This Row],[Último]]/B645)-1</f>
        <v>-6.5271966527196135E-3</v>
      </c>
    </row>
    <row r="647" spans="1:3" x14ac:dyDescent="0.25">
      <c r="A647" s="1">
        <v>45128</v>
      </c>
      <c r="B647" s="2">
        <v>41557</v>
      </c>
      <c r="C647" s="3">
        <f>(VOO_data[[#This Row],[Último]]/B646)-1</f>
        <v>1.2033115132847882E-4</v>
      </c>
    </row>
    <row r="648" spans="1:3" x14ac:dyDescent="0.25">
      <c r="A648" s="1">
        <v>45131</v>
      </c>
      <c r="B648" s="2">
        <v>41733</v>
      </c>
      <c r="C648" s="3">
        <f>(VOO_data[[#This Row],[Último]]/B647)-1</f>
        <v>4.2351469066583824E-3</v>
      </c>
    </row>
    <row r="649" spans="1:3" x14ac:dyDescent="0.25">
      <c r="A649" s="1">
        <v>45132</v>
      </c>
      <c r="B649" s="2">
        <v>41856</v>
      </c>
      <c r="C649" s="3">
        <f>(VOO_data[[#This Row],[Último]]/B648)-1</f>
        <v>2.9473078858457402E-3</v>
      </c>
    </row>
    <row r="650" spans="1:3" x14ac:dyDescent="0.25">
      <c r="A650" s="1">
        <v>45133</v>
      </c>
      <c r="B650" s="2">
        <v>41866</v>
      </c>
      <c r="C650" s="3">
        <f>(VOO_data[[#This Row],[Último]]/B649)-1</f>
        <v>2.3891437308876107E-4</v>
      </c>
    </row>
    <row r="651" spans="1:3" x14ac:dyDescent="0.25">
      <c r="A651" s="1">
        <v>45134</v>
      </c>
      <c r="B651" s="2">
        <v>41582</v>
      </c>
      <c r="C651" s="3">
        <f>(VOO_data[[#This Row],[Último]]/B650)-1</f>
        <v>-6.7835475087183461E-3</v>
      </c>
    </row>
    <row r="652" spans="1:3" x14ac:dyDescent="0.25">
      <c r="A652" s="1">
        <v>45135</v>
      </c>
      <c r="B652" s="2">
        <v>41987</v>
      </c>
      <c r="C652" s="3">
        <f>(VOO_data[[#This Row],[Último]]/B651)-1</f>
        <v>9.7397912558319089E-3</v>
      </c>
    </row>
    <row r="653" spans="1:3" x14ac:dyDescent="0.25">
      <c r="A653" s="1">
        <v>45138</v>
      </c>
      <c r="B653" s="2">
        <v>42068</v>
      </c>
      <c r="C653" s="3">
        <f>(VOO_data[[#This Row],[Último]]/B652)-1</f>
        <v>1.9291685521709567E-3</v>
      </c>
    </row>
    <row r="654" spans="1:3" x14ac:dyDescent="0.25">
      <c r="A654" s="1">
        <v>45139</v>
      </c>
      <c r="B654" s="2">
        <v>41938</v>
      </c>
      <c r="C654" s="3">
        <f>(VOO_data[[#This Row],[Último]]/B653)-1</f>
        <v>-3.0902348578492056E-3</v>
      </c>
    </row>
    <row r="655" spans="1:3" x14ac:dyDescent="0.25">
      <c r="A655" s="1">
        <v>45140</v>
      </c>
      <c r="B655" s="2">
        <v>41357</v>
      </c>
      <c r="C655" s="3">
        <f>(VOO_data[[#This Row],[Último]]/B654)-1</f>
        <v>-1.3853784157565885E-2</v>
      </c>
    </row>
    <row r="656" spans="1:3" x14ac:dyDescent="0.25">
      <c r="A656" s="1">
        <v>45141</v>
      </c>
      <c r="B656" s="2">
        <v>41240</v>
      </c>
      <c r="C656" s="3">
        <f>(VOO_data[[#This Row],[Último]]/B655)-1</f>
        <v>-2.8290253161495915E-3</v>
      </c>
    </row>
    <row r="657" spans="1:3" x14ac:dyDescent="0.25">
      <c r="A657" s="1">
        <v>45142</v>
      </c>
      <c r="B657" s="2">
        <v>41038</v>
      </c>
      <c r="C657" s="3">
        <f>(VOO_data[[#This Row],[Último]]/B656)-1</f>
        <v>-4.8981571290009907E-3</v>
      </c>
    </row>
    <row r="658" spans="1:3" x14ac:dyDescent="0.25">
      <c r="A658" s="1">
        <v>45145</v>
      </c>
      <c r="B658" s="2">
        <v>41408</v>
      </c>
      <c r="C658" s="3">
        <f>(VOO_data[[#This Row],[Último]]/B657)-1</f>
        <v>9.0160339197815631E-3</v>
      </c>
    </row>
    <row r="659" spans="1:3" x14ac:dyDescent="0.25">
      <c r="A659" s="1">
        <v>45146</v>
      </c>
      <c r="B659" s="2">
        <v>41229</v>
      </c>
      <c r="C659" s="3">
        <f>(VOO_data[[#This Row],[Último]]/B658)-1</f>
        <v>-4.3228361669243043E-3</v>
      </c>
    </row>
    <row r="660" spans="1:3" x14ac:dyDescent="0.25">
      <c r="A660" s="1">
        <v>45147</v>
      </c>
      <c r="B660" s="2">
        <v>40955</v>
      </c>
      <c r="C660" s="3">
        <f>(VOO_data[[#This Row],[Último]]/B659)-1</f>
        <v>-6.6458075626379953E-3</v>
      </c>
    </row>
    <row r="661" spans="1:3" x14ac:dyDescent="0.25">
      <c r="A661" s="1">
        <v>45148</v>
      </c>
      <c r="B661" s="2">
        <v>40979</v>
      </c>
      <c r="C661" s="3">
        <f>(VOO_data[[#This Row],[Último]]/B660)-1</f>
        <v>5.8600903430594542E-4</v>
      </c>
    </row>
    <row r="662" spans="1:3" x14ac:dyDescent="0.25">
      <c r="A662" s="1">
        <v>45149</v>
      </c>
      <c r="B662" s="2">
        <v>40941</v>
      </c>
      <c r="C662" s="3">
        <f>(VOO_data[[#This Row],[Último]]/B661)-1</f>
        <v>-9.2730422899534037E-4</v>
      </c>
    </row>
    <row r="663" spans="1:3" x14ac:dyDescent="0.25">
      <c r="A663" s="1">
        <v>45152</v>
      </c>
      <c r="B663" s="2">
        <v>41172</v>
      </c>
      <c r="C663" s="3">
        <f>(VOO_data[[#This Row],[Último]]/B662)-1</f>
        <v>5.6422656994210563E-3</v>
      </c>
    </row>
    <row r="664" spans="1:3" x14ac:dyDescent="0.25">
      <c r="A664" s="1">
        <v>45153</v>
      </c>
      <c r="B664" s="2">
        <v>40700</v>
      </c>
      <c r="C664" s="3">
        <f>(VOO_data[[#This Row],[Último]]/B663)-1</f>
        <v>-1.1464101816768713E-2</v>
      </c>
    </row>
    <row r="665" spans="1:3" x14ac:dyDescent="0.25">
      <c r="A665" s="1">
        <v>45154</v>
      </c>
      <c r="B665" s="2">
        <v>40399</v>
      </c>
      <c r="C665" s="3">
        <f>(VOO_data[[#This Row],[Último]]/B664)-1</f>
        <v>-7.3955773955773907E-3</v>
      </c>
    </row>
    <row r="666" spans="1:3" x14ac:dyDescent="0.25">
      <c r="A666" s="1">
        <v>45155</v>
      </c>
      <c r="B666" s="2">
        <v>40072</v>
      </c>
      <c r="C666" s="3">
        <f>(VOO_data[[#This Row],[Último]]/B665)-1</f>
        <v>-8.0942597589048759E-3</v>
      </c>
    </row>
    <row r="667" spans="1:3" x14ac:dyDescent="0.25">
      <c r="A667" s="1">
        <v>45156</v>
      </c>
      <c r="B667" s="2">
        <v>40109</v>
      </c>
      <c r="C667" s="3">
        <f>(VOO_data[[#This Row],[Último]]/B666)-1</f>
        <v>9.233379916151474E-4</v>
      </c>
    </row>
    <row r="668" spans="1:3" x14ac:dyDescent="0.25">
      <c r="A668" s="1">
        <v>45159</v>
      </c>
      <c r="B668" s="2">
        <v>40374</v>
      </c>
      <c r="C668" s="3">
        <f>(VOO_data[[#This Row],[Último]]/B667)-1</f>
        <v>6.606995936074167E-3</v>
      </c>
    </row>
    <row r="669" spans="1:3" x14ac:dyDescent="0.25">
      <c r="A669" s="1">
        <v>45160</v>
      </c>
      <c r="B669" s="2">
        <v>40261</v>
      </c>
      <c r="C669" s="3">
        <f>(VOO_data[[#This Row],[Último]]/B668)-1</f>
        <v>-2.7988309307970249E-3</v>
      </c>
    </row>
    <row r="670" spans="1:3" x14ac:dyDescent="0.25">
      <c r="A670" s="1">
        <v>45161</v>
      </c>
      <c r="B670" s="2">
        <v>40695</v>
      </c>
      <c r="C670" s="3">
        <f>(VOO_data[[#This Row],[Último]]/B669)-1</f>
        <v>1.0779662700876713E-2</v>
      </c>
    </row>
    <row r="671" spans="1:3" x14ac:dyDescent="0.25">
      <c r="A671" s="1">
        <v>45162</v>
      </c>
      <c r="B671" s="2">
        <v>40154</v>
      </c>
      <c r="C671" s="3">
        <f>(VOO_data[[#This Row],[Último]]/B670)-1</f>
        <v>-1.3294016463939018E-2</v>
      </c>
    </row>
    <row r="672" spans="1:3" x14ac:dyDescent="0.25">
      <c r="A672" s="1">
        <v>45163</v>
      </c>
      <c r="B672" s="2">
        <v>40420</v>
      </c>
      <c r="C672" s="3">
        <f>(VOO_data[[#This Row],[Último]]/B671)-1</f>
        <v>6.6244956915872955E-3</v>
      </c>
    </row>
    <row r="673" spans="1:3" x14ac:dyDescent="0.25">
      <c r="A673" s="1">
        <v>45166</v>
      </c>
      <c r="B673" s="2">
        <v>40686</v>
      </c>
      <c r="C673" s="3">
        <f>(VOO_data[[#This Row],[Último]]/B672)-1</f>
        <v>6.5809005442849511E-3</v>
      </c>
    </row>
    <row r="674" spans="1:3" x14ac:dyDescent="0.25">
      <c r="A674" s="1">
        <v>45167</v>
      </c>
      <c r="B674" s="2">
        <v>41264</v>
      </c>
      <c r="C674" s="3">
        <f>(VOO_data[[#This Row],[Último]]/B673)-1</f>
        <v>1.420636091038685E-2</v>
      </c>
    </row>
    <row r="675" spans="1:3" x14ac:dyDescent="0.25">
      <c r="A675" s="1">
        <v>45168</v>
      </c>
      <c r="B675" s="2">
        <v>41436</v>
      </c>
      <c r="C675" s="3">
        <f>(VOO_data[[#This Row],[Último]]/B674)-1</f>
        <v>4.1682822799533614E-3</v>
      </c>
    </row>
    <row r="676" spans="1:3" x14ac:dyDescent="0.25">
      <c r="A676" s="1">
        <v>45169</v>
      </c>
      <c r="B676" s="2">
        <v>41383</v>
      </c>
      <c r="C676" s="3">
        <f>(VOO_data[[#This Row],[Último]]/B675)-1</f>
        <v>-1.2790809923737267E-3</v>
      </c>
    </row>
    <row r="677" spans="1:3" x14ac:dyDescent="0.25">
      <c r="A677" s="1">
        <v>45170</v>
      </c>
      <c r="B677" s="2">
        <v>41471</v>
      </c>
      <c r="C677" s="3">
        <f>(VOO_data[[#This Row],[Último]]/B676)-1</f>
        <v>2.1264770557958279E-3</v>
      </c>
    </row>
    <row r="678" spans="1:3" x14ac:dyDescent="0.25">
      <c r="A678" s="1">
        <v>45174</v>
      </c>
      <c r="B678" s="2">
        <v>41290</v>
      </c>
      <c r="C678" s="3">
        <f>(VOO_data[[#This Row],[Último]]/B677)-1</f>
        <v>-4.3644956716741845E-3</v>
      </c>
    </row>
    <row r="679" spans="1:3" x14ac:dyDescent="0.25">
      <c r="A679" s="1">
        <v>45175</v>
      </c>
      <c r="B679" s="2">
        <v>41005</v>
      </c>
      <c r="C679" s="3">
        <f>(VOO_data[[#This Row],[Último]]/B678)-1</f>
        <v>-6.9023976749817972E-3</v>
      </c>
    </row>
    <row r="680" spans="1:3" x14ac:dyDescent="0.25">
      <c r="A680" s="1">
        <v>45176</v>
      </c>
      <c r="B680" s="2">
        <v>40883</v>
      </c>
      <c r="C680" s="3">
        <f>(VOO_data[[#This Row],[Último]]/B679)-1</f>
        <v>-2.9752469211071775E-3</v>
      </c>
    </row>
    <row r="681" spans="1:3" x14ac:dyDescent="0.25">
      <c r="A681" s="1">
        <v>45177</v>
      </c>
      <c r="B681" s="2">
        <v>40939</v>
      </c>
      <c r="C681" s="3">
        <f>(VOO_data[[#This Row],[Último]]/B680)-1</f>
        <v>1.3697624929678298E-3</v>
      </c>
    </row>
    <row r="682" spans="1:3" x14ac:dyDescent="0.25">
      <c r="A682" s="1">
        <v>45180</v>
      </c>
      <c r="B682" s="2">
        <v>41208</v>
      </c>
      <c r="C682" s="3">
        <f>(VOO_data[[#This Row],[Último]]/B681)-1</f>
        <v>6.5707516060480309E-3</v>
      </c>
    </row>
    <row r="683" spans="1:3" x14ac:dyDescent="0.25">
      <c r="A683" s="1">
        <v>45181</v>
      </c>
      <c r="B683" s="2">
        <v>40987</v>
      </c>
      <c r="C683" s="3">
        <f>(VOO_data[[#This Row],[Último]]/B682)-1</f>
        <v>-5.3630363036303308E-3</v>
      </c>
    </row>
    <row r="684" spans="1:3" x14ac:dyDescent="0.25">
      <c r="A684" s="1">
        <v>45182</v>
      </c>
      <c r="B684" s="2">
        <v>41035</v>
      </c>
      <c r="C684" s="3">
        <f>(VOO_data[[#This Row],[Último]]/B683)-1</f>
        <v>1.1711030326688743E-3</v>
      </c>
    </row>
    <row r="685" spans="1:3" x14ac:dyDescent="0.25">
      <c r="A685" s="1">
        <v>45183</v>
      </c>
      <c r="B685" s="2">
        <v>41390</v>
      </c>
      <c r="C685" s="3">
        <f>(VOO_data[[#This Row],[Último]]/B684)-1</f>
        <v>8.651151456074091E-3</v>
      </c>
    </row>
    <row r="686" spans="1:3" x14ac:dyDescent="0.25">
      <c r="A686" s="1">
        <v>45184</v>
      </c>
      <c r="B686" s="2">
        <v>40874</v>
      </c>
      <c r="C686" s="3">
        <f>(VOO_data[[#This Row],[Último]]/B685)-1</f>
        <v>-1.2466779415317708E-2</v>
      </c>
    </row>
    <row r="687" spans="1:3" x14ac:dyDescent="0.25">
      <c r="A687" s="1">
        <v>45187</v>
      </c>
      <c r="B687" s="2">
        <v>40919</v>
      </c>
      <c r="C687" s="3">
        <f>(VOO_data[[#This Row],[Último]]/B686)-1</f>
        <v>1.1009443656113671E-3</v>
      </c>
    </row>
    <row r="688" spans="1:3" x14ac:dyDescent="0.25">
      <c r="A688" s="1">
        <v>45188</v>
      </c>
      <c r="B688" s="2">
        <v>40837</v>
      </c>
      <c r="C688" s="3">
        <f>(VOO_data[[#This Row],[Último]]/B687)-1</f>
        <v>-2.0039590410322328E-3</v>
      </c>
    </row>
    <row r="689" spans="1:3" x14ac:dyDescent="0.25">
      <c r="A689" s="1">
        <v>45189</v>
      </c>
      <c r="B689" s="2">
        <v>40455</v>
      </c>
      <c r="C689" s="3">
        <f>(VOO_data[[#This Row],[Último]]/B688)-1</f>
        <v>-9.3542620662634413E-3</v>
      </c>
    </row>
    <row r="690" spans="1:3" x14ac:dyDescent="0.25">
      <c r="A690" s="1">
        <v>45190</v>
      </c>
      <c r="B690" s="2">
        <v>39792</v>
      </c>
      <c r="C690" s="3">
        <f>(VOO_data[[#This Row],[Último]]/B689)-1</f>
        <v>-1.6388579903596545E-2</v>
      </c>
    </row>
    <row r="691" spans="1:3" x14ac:dyDescent="0.25">
      <c r="A691" s="1">
        <v>45191</v>
      </c>
      <c r="B691" s="2">
        <v>39696</v>
      </c>
      <c r="C691" s="3">
        <f>(VOO_data[[#This Row],[Último]]/B690)-1</f>
        <v>-2.4125452352231624E-3</v>
      </c>
    </row>
    <row r="692" spans="1:3" x14ac:dyDescent="0.25">
      <c r="A692" s="1">
        <v>45194</v>
      </c>
      <c r="B692" s="2">
        <v>39861</v>
      </c>
      <c r="C692" s="3">
        <f>(VOO_data[[#This Row],[Último]]/B691)-1</f>
        <v>4.1565900846431969E-3</v>
      </c>
    </row>
    <row r="693" spans="1:3" x14ac:dyDescent="0.25">
      <c r="A693" s="1">
        <v>45195</v>
      </c>
      <c r="B693" s="2">
        <v>39276</v>
      </c>
      <c r="C693" s="3">
        <f>(VOO_data[[#This Row],[Último]]/B692)-1</f>
        <v>-1.4675999096861569E-2</v>
      </c>
    </row>
    <row r="694" spans="1:3" x14ac:dyDescent="0.25">
      <c r="A694" s="1">
        <v>45196</v>
      </c>
      <c r="B694" s="2">
        <v>39285</v>
      </c>
      <c r="C694" s="3">
        <f>(VOO_data[[#This Row],[Último]]/B693)-1</f>
        <v>2.2914757103564831E-4</v>
      </c>
    </row>
    <row r="695" spans="1:3" x14ac:dyDescent="0.25">
      <c r="A695" s="1">
        <v>45197</v>
      </c>
      <c r="B695" s="2">
        <v>39364</v>
      </c>
      <c r="C695" s="3">
        <f>(VOO_data[[#This Row],[Último]]/B694)-1</f>
        <v>2.0109456535573056E-3</v>
      </c>
    </row>
    <row r="696" spans="1:3" x14ac:dyDescent="0.25">
      <c r="A696" s="1">
        <v>45198</v>
      </c>
      <c r="B696" s="2">
        <v>39270</v>
      </c>
      <c r="C696" s="3">
        <f>(VOO_data[[#This Row],[Último]]/B695)-1</f>
        <v>-2.3879687023676821E-3</v>
      </c>
    </row>
    <row r="697" spans="1:3" x14ac:dyDescent="0.25">
      <c r="A697" s="1">
        <v>45201</v>
      </c>
      <c r="B697" s="2">
        <v>39267</v>
      </c>
      <c r="C697" s="3">
        <f>(VOO_data[[#This Row],[Último]]/B696)-1</f>
        <v>-7.6394194041262686E-5</v>
      </c>
    </row>
    <row r="698" spans="1:3" x14ac:dyDescent="0.25">
      <c r="A698" s="1">
        <v>45202</v>
      </c>
      <c r="B698" s="2">
        <v>38739</v>
      </c>
      <c r="C698" s="3">
        <f>(VOO_data[[#This Row],[Último]]/B697)-1</f>
        <v>-1.3446405378562121E-2</v>
      </c>
    </row>
    <row r="699" spans="1:3" x14ac:dyDescent="0.25">
      <c r="A699" s="1">
        <v>45203</v>
      </c>
      <c r="B699" s="2">
        <v>39024</v>
      </c>
      <c r="C699" s="3">
        <f>(VOO_data[[#This Row],[Último]]/B698)-1</f>
        <v>7.356927127700752E-3</v>
      </c>
    </row>
    <row r="700" spans="1:3" x14ac:dyDescent="0.25">
      <c r="A700" s="1">
        <v>45204</v>
      </c>
      <c r="B700" s="2">
        <v>38991</v>
      </c>
      <c r="C700" s="3">
        <f>(VOO_data[[#This Row],[Último]]/B699)-1</f>
        <v>-8.4563345633459353E-4</v>
      </c>
    </row>
    <row r="701" spans="1:3" x14ac:dyDescent="0.25">
      <c r="A701" s="1">
        <v>45205</v>
      </c>
      <c r="B701" s="2">
        <v>39456</v>
      </c>
      <c r="C701" s="3">
        <f>(VOO_data[[#This Row],[Último]]/B700)-1</f>
        <v>1.1925829037470193E-2</v>
      </c>
    </row>
    <row r="702" spans="1:3" x14ac:dyDescent="0.25">
      <c r="A702" s="1">
        <v>45208</v>
      </c>
      <c r="B702" s="2">
        <v>39719</v>
      </c>
      <c r="C702" s="3">
        <f>(VOO_data[[#This Row],[Último]]/B701)-1</f>
        <v>6.6656528791564362E-3</v>
      </c>
    </row>
    <row r="703" spans="1:3" x14ac:dyDescent="0.25">
      <c r="A703" s="1">
        <v>45209</v>
      </c>
      <c r="B703" s="2">
        <v>39924</v>
      </c>
      <c r="C703" s="3">
        <f>(VOO_data[[#This Row],[Último]]/B702)-1</f>
        <v>5.1612578363000594E-3</v>
      </c>
    </row>
    <row r="704" spans="1:3" x14ac:dyDescent="0.25">
      <c r="A704" s="1">
        <v>45210</v>
      </c>
      <c r="B704" s="2">
        <v>40093</v>
      </c>
      <c r="C704" s="3">
        <f>(VOO_data[[#This Row],[Último]]/B703)-1</f>
        <v>4.2330427812844462E-3</v>
      </c>
    </row>
    <row r="705" spans="1:3" x14ac:dyDescent="0.25">
      <c r="A705" s="1">
        <v>45211</v>
      </c>
      <c r="B705" s="2">
        <v>39852</v>
      </c>
      <c r="C705" s="3">
        <f>(VOO_data[[#This Row],[Último]]/B704)-1</f>
        <v>-6.0110243683435538E-3</v>
      </c>
    </row>
    <row r="706" spans="1:3" x14ac:dyDescent="0.25">
      <c r="A706" s="1">
        <v>45212</v>
      </c>
      <c r="B706" s="2">
        <v>39642</v>
      </c>
      <c r="C706" s="3">
        <f>(VOO_data[[#This Row],[Último]]/B705)-1</f>
        <v>-5.2694971394158241E-3</v>
      </c>
    </row>
    <row r="707" spans="1:3" x14ac:dyDescent="0.25">
      <c r="A707" s="1">
        <v>45215</v>
      </c>
      <c r="B707" s="2">
        <v>40057</v>
      </c>
      <c r="C707" s="3">
        <f>(VOO_data[[#This Row],[Último]]/B706)-1</f>
        <v>1.0468694818626778E-2</v>
      </c>
    </row>
    <row r="708" spans="1:3" x14ac:dyDescent="0.25">
      <c r="A708" s="1">
        <v>45216</v>
      </c>
      <c r="B708" s="2">
        <v>40058</v>
      </c>
      <c r="C708" s="3">
        <f>(VOO_data[[#This Row],[Último]]/B707)-1</f>
        <v>2.4964425693330128E-5</v>
      </c>
    </row>
    <row r="709" spans="1:3" x14ac:dyDescent="0.25">
      <c r="A709" s="1">
        <v>45217</v>
      </c>
      <c r="B709" s="2">
        <v>39522</v>
      </c>
      <c r="C709" s="3">
        <f>(VOO_data[[#This Row],[Último]]/B708)-1</f>
        <v>-1.3380598132707533E-2</v>
      </c>
    </row>
    <row r="710" spans="1:3" x14ac:dyDescent="0.25">
      <c r="A710" s="1">
        <v>45218</v>
      </c>
      <c r="B710" s="2">
        <v>39187</v>
      </c>
      <c r="C710" s="3">
        <f>(VOO_data[[#This Row],[Último]]/B709)-1</f>
        <v>-8.4762916856434556E-3</v>
      </c>
    </row>
    <row r="711" spans="1:3" x14ac:dyDescent="0.25">
      <c r="A711" s="1">
        <v>45219</v>
      </c>
      <c r="B711" s="2">
        <v>38699</v>
      </c>
      <c r="C711" s="3">
        <f>(VOO_data[[#This Row],[Último]]/B710)-1</f>
        <v>-1.245310944956235E-2</v>
      </c>
    </row>
    <row r="712" spans="1:3" x14ac:dyDescent="0.25">
      <c r="A712" s="1">
        <v>45222</v>
      </c>
      <c r="B712" s="2">
        <v>38631</v>
      </c>
      <c r="C712" s="3">
        <f>(VOO_data[[#This Row],[Último]]/B711)-1</f>
        <v>-1.7571513475800327E-3</v>
      </c>
    </row>
    <row r="713" spans="1:3" x14ac:dyDescent="0.25">
      <c r="A713" s="1">
        <v>45223</v>
      </c>
      <c r="B713" s="2">
        <v>38920</v>
      </c>
      <c r="C713" s="3">
        <f>(VOO_data[[#This Row],[Último]]/B712)-1</f>
        <v>7.4810385441743676E-3</v>
      </c>
    </row>
    <row r="714" spans="1:3" x14ac:dyDescent="0.25">
      <c r="A714" s="1">
        <v>45224</v>
      </c>
      <c r="B714" s="2">
        <v>38371</v>
      </c>
      <c r="C714" s="3">
        <f>(VOO_data[[#This Row],[Último]]/B713)-1</f>
        <v>-1.4105858170606389E-2</v>
      </c>
    </row>
    <row r="715" spans="1:3" x14ac:dyDescent="0.25">
      <c r="A715" s="1">
        <v>45225</v>
      </c>
      <c r="B715" s="2">
        <v>37900</v>
      </c>
      <c r="C715" s="3">
        <f>(VOO_data[[#This Row],[Último]]/B714)-1</f>
        <v>-1.2274895103072669E-2</v>
      </c>
    </row>
    <row r="716" spans="1:3" x14ac:dyDescent="0.25">
      <c r="A716" s="1">
        <v>45226</v>
      </c>
      <c r="B716" s="2">
        <v>37732</v>
      </c>
      <c r="C716" s="3">
        <f>(VOO_data[[#This Row],[Último]]/B715)-1</f>
        <v>-4.4327176781002731E-3</v>
      </c>
    </row>
    <row r="717" spans="1:3" x14ac:dyDescent="0.25">
      <c r="A717" s="1">
        <v>45229</v>
      </c>
      <c r="B717" s="2">
        <v>38186</v>
      </c>
      <c r="C717" s="3">
        <f>(VOO_data[[#This Row],[Último]]/B716)-1</f>
        <v>1.2032227287183339E-2</v>
      </c>
    </row>
    <row r="718" spans="1:3" x14ac:dyDescent="0.25">
      <c r="A718" s="1">
        <v>45230</v>
      </c>
      <c r="B718" s="2">
        <v>38417</v>
      </c>
      <c r="C718" s="3">
        <f>(VOO_data[[#This Row],[Último]]/B717)-1</f>
        <v>6.0493374535171007E-3</v>
      </c>
    </row>
    <row r="719" spans="1:3" x14ac:dyDescent="0.25">
      <c r="A719" s="1">
        <v>45231</v>
      </c>
      <c r="B719" s="2">
        <v>38840</v>
      </c>
      <c r="C719" s="3">
        <f>(VOO_data[[#This Row],[Último]]/B718)-1</f>
        <v>1.1010750449020001E-2</v>
      </c>
    </row>
    <row r="720" spans="1:3" x14ac:dyDescent="0.25">
      <c r="A720" s="1">
        <v>45232</v>
      </c>
      <c r="B720" s="2">
        <v>39578</v>
      </c>
      <c r="C720" s="3">
        <f>(VOO_data[[#This Row],[Último]]/B719)-1</f>
        <v>1.9001029866117403E-2</v>
      </c>
    </row>
    <row r="721" spans="1:3" x14ac:dyDescent="0.25">
      <c r="A721" s="1">
        <v>45233</v>
      </c>
      <c r="B721" s="2">
        <v>39944</v>
      </c>
      <c r="C721" s="3">
        <f>(VOO_data[[#This Row],[Último]]/B720)-1</f>
        <v>9.2475617767446838E-3</v>
      </c>
    </row>
    <row r="722" spans="1:3" x14ac:dyDescent="0.25">
      <c r="A722" s="1">
        <v>45236</v>
      </c>
      <c r="B722" s="2">
        <v>40021</v>
      </c>
      <c r="C722" s="3">
        <f>(VOO_data[[#This Row],[Último]]/B721)-1</f>
        <v>1.9276987782896882E-3</v>
      </c>
    </row>
    <row r="723" spans="1:3" x14ac:dyDescent="0.25">
      <c r="A723" s="1">
        <v>45237</v>
      </c>
      <c r="B723" s="2">
        <v>40134</v>
      </c>
      <c r="C723" s="3">
        <f>(VOO_data[[#This Row],[Último]]/B722)-1</f>
        <v>2.8235176532320772E-3</v>
      </c>
    </row>
    <row r="724" spans="1:3" x14ac:dyDescent="0.25">
      <c r="A724" s="1">
        <v>45238</v>
      </c>
      <c r="B724" s="2">
        <v>40167</v>
      </c>
      <c r="C724" s="3">
        <f>(VOO_data[[#This Row],[Último]]/B723)-1</f>
        <v>8.2224547764986333E-4</v>
      </c>
    </row>
    <row r="725" spans="1:3" x14ac:dyDescent="0.25">
      <c r="A725" s="1">
        <v>45239</v>
      </c>
      <c r="B725" s="2">
        <v>39864</v>
      </c>
      <c r="C725" s="3">
        <f>(VOO_data[[#This Row],[Último]]/B724)-1</f>
        <v>-7.5435058630218821E-3</v>
      </c>
    </row>
    <row r="726" spans="1:3" x14ac:dyDescent="0.25">
      <c r="A726" s="1">
        <v>45240</v>
      </c>
      <c r="B726" s="2">
        <v>40486</v>
      </c>
      <c r="C726" s="3">
        <f>(VOO_data[[#This Row],[Último]]/B725)-1</f>
        <v>1.5603050371262306E-2</v>
      </c>
    </row>
    <row r="727" spans="1:3" x14ac:dyDescent="0.25">
      <c r="A727" s="1">
        <v>45243</v>
      </c>
      <c r="B727" s="2">
        <v>40445</v>
      </c>
      <c r="C727" s="3">
        <f>(VOO_data[[#This Row],[Último]]/B726)-1</f>
        <v>-1.0126957466778386E-3</v>
      </c>
    </row>
    <row r="728" spans="1:3" x14ac:dyDescent="0.25">
      <c r="A728" s="1">
        <v>45244</v>
      </c>
      <c r="B728" s="2">
        <v>41222</v>
      </c>
      <c r="C728" s="3">
        <f>(VOO_data[[#This Row],[Último]]/B727)-1</f>
        <v>1.921127457040428E-2</v>
      </c>
    </row>
    <row r="729" spans="1:3" x14ac:dyDescent="0.25">
      <c r="A729" s="1">
        <v>45245</v>
      </c>
      <c r="B729" s="2">
        <v>41312</v>
      </c>
      <c r="C729" s="3">
        <f>(VOO_data[[#This Row],[Último]]/B728)-1</f>
        <v>2.1833001795157347E-3</v>
      </c>
    </row>
    <row r="730" spans="1:3" x14ac:dyDescent="0.25">
      <c r="A730" s="1">
        <v>45246</v>
      </c>
      <c r="B730" s="2">
        <v>41370</v>
      </c>
      <c r="C730" s="3">
        <f>(VOO_data[[#This Row],[Último]]/B729)-1</f>
        <v>1.403950426026368E-3</v>
      </c>
    </row>
    <row r="731" spans="1:3" x14ac:dyDescent="0.25">
      <c r="A731" s="1">
        <v>45247</v>
      </c>
      <c r="B731" s="2">
        <v>41431</v>
      </c>
      <c r="C731" s="3">
        <f>(VOO_data[[#This Row],[Último]]/B730)-1</f>
        <v>1.4744984288130869E-3</v>
      </c>
    </row>
    <row r="732" spans="1:3" x14ac:dyDescent="0.25">
      <c r="A732" s="1">
        <v>45250</v>
      </c>
      <c r="B732" s="2">
        <v>41743</v>
      </c>
      <c r="C732" s="3">
        <f>(VOO_data[[#This Row],[Último]]/B731)-1</f>
        <v>7.5305930342013383E-3</v>
      </c>
    </row>
    <row r="733" spans="1:3" x14ac:dyDescent="0.25">
      <c r="A733" s="1">
        <v>45251</v>
      </c>
      <c r="B733" s="2">
        <v>41634</v>
      </c>
      <c r="C733" s="3">
        <f>(VOO_data[[#This Row],[Último]]/B732)-1</f>
        <v>-2.6112162518266979E-3</v>
      </c>
    </row>
    <row r="734" spans="1:3" x14ac:dyDescent="0.25">
      <c r="A734" s="1">
        <v>45252</v>
      </c>
      <c r="B734" s="2">
        <v>41814</v>
      </c>
      <c r="C734" s="3">
        <f>(VOO_data[[#This Row],[Último]]/B733)-1</f>
        <v>4.3233895373973041E-3</v>
      </c>
    </row>
    <row r="735" spans="1:3" x14ac:dyDescent="0.25">
      <c r="A735" s="1">
        <v>45254</v>
      </c>
      <c r="B735" s="2">
        <v>41837</v>
      </c>
      <c r="C735" s="3">
        <f>(VOO_data[[#This Row],[Último]]/B734)-1</f>
        <v>5.5005500550064923E-4</v>
      </c>
    </row>
    <row r="736" spans="1:3" x14ac:dyDescent="0.25">
      <c r="A736" s="1">
        <v>45257</v>
      </c>
      <c r="B736" s="2">
        <v>41764</v>
      </c>
      <c r="C736" s="3">
        <f>(VOO_data[[#This Row],[Último]]/B735)-1</f>
        <v>-1.744866983770299E-3</v>
      </c>
    </row>
    <row r="737" spans="1:3" x14ac:dyDescent="0.25">
      <c r="A737" s="1">
        <v>45258</v>
      </c>
      <c r="B737" s="2">
        <v>41805</v>
      </c>
      <c r="C737" s="3">
        <f>(VOO_data[[#This Row],[Último]]/B736)-1</f>
        <v>9.8170673307151901E-4</v>
      </c>
    </row>
    <row r="738" spans="1:3" x14ac:dyDescent="0.25">
      <c r="A738" s="1">
        <v>45259</v>
      </c>
      <c r="B738" s="2">
        <v>41778</v>
      </c>
      <c r="C738" s="3">
        <f>(VOO_data[[#This Row],[Último]]/B737)-1</f>
        <v>-6.4585575888054247E-4</v>
      </c>
    </row>
    <row r="739" spans="1:3" x14ac:dyDescent="0.25">
      <c r="A739" s="1">
        <v>45260</v>
      </c>
      <c r="B739" s="2">
        <v>41940</v>
      </c>
      <c r="C739" s="3">
        <f>(VOO_data[[#This Row],[Último]]/B738)-1</f>
        <v>3.8776389487289453E-3</v>
      </c>
    </row>
    <row r="740" spans="1:3" x14ac:dyDescent="0.25">
      <c r="A740" s="1">
        <v>45261</v>
      </c>
      <c r="B740" s="2">
        <v>42186</v>
      </c>
      <c r="C740" s="3">
        <f>(VOO_data[[#This Row],[Último]]/B739)-1</f>
        <v>5.8655221745349539E-3</v>
      </c>
    </row>
    <row r="741" spans="1:3" x14ac:dyDescent="0.25">
      <c r="A741" s="1">
        <v>45264</v>
      </c>
      <c r="B741" s="2">
        <v>41974</v>
      </c>
      <c r="C741" s="3">
        <f>(VOO_data[[#This Row],[Último]]/B740)-1</f>
        <v>-5.0253638647892451E-3</v>
      </c>
    </row>
    <row r="742" spans="1:3" x14ac:dyDescent="0.25">
      <c r="A742" s="1">
        <v>45265</v>
      </c>
      <c r="B742" s="2">
        <v>41961</v>
      </c>
      <c r="C742" s="3">
        <f>(VOO_data[[#This Row],[Último]]/B741)-1</f>
        <v>-3.0971553819025832E-4</v>
      </c>
    </row>
    <row r="743" spans="1:3" x14ac:dyDescent="0.25">
      <c r="A743" s="1">
        <v>45266</v>
      </c>
      <c r="B743" s="2">
        <v>41786</v>
      </c>
      <c r="C743" s="3">
        <f>(VOO_data[[#This Row],[Último]]/B742)-1</f>
        <v>-4.1705393103119714E-3</v>
      </c>
    </row>
    <row r="744" spans="1:3" x14ac:dyDescent="0.25">
      <c r="A744" s="1">
        <v>45267</v>
      </c>
      <c r="B744" s="2">
        <v>42113</v>
      </c>
      <c r="C744" s="3">
        <f>(VOO_data[[#This Row],[Último]]/B743)-1</f>
        <v>7.8255875173502965E-3</v>
      </c>
    </row>
    <row r="745" spans="1:3" x14ac:dyDescent="0.25">
      <c r="A745" s="1">
        <v>45268</v>
      </c>
      <c r="B745" s="2">
        <v>42292</v>
      </c>
      <c r="C745" s="3">
        <f>(VOO_data[[#This Row],[Último]]/B744)-1</f>
        <v>4.2504689763256387E-3</v>
      </c>
    </row>
    <row r="746" spans="1:3" x14ac:dyDescent="0.25">
      <c r="A746" s="1">
        <v>45271</v>
      </c>
      <c r="B746" s="2">
        <v>42456</v>
      </c>
      <c r="C746" s="3">
        <f>(VOO_data[[#This Row],[Último]]/B745)-1</f>
        <v>3.877801948358961E-3</v>
      </c>
    </row>
    <row r="747" spans="1:3" x14ac:dyDescent="0.25">
      <c r="A747" s="1">
        <v>45272</v>
      </c>
      <c r="B747" s="2">
        <v>42667</v>
      </c>
      <c r="C747" s="3">
        <f>(VOO_data[[#This Row],[Último]]/B746)-1</f>
        <v>4.9698511400038115E-3</v>
      </c>
    </row>
    <row r="748" spans="1:3" x14ac:dyDescent="0.25">
      <c r="A748" s="1">
        <v>45273</v>
      </c>
      <c r="B748" s="2">
        <v>43248</v>
      </c>
      <c r="C748" s="3">
        <f>(VOO_data[[#This Row],[Último]]/B747)-1</f>
        <v>1.3617081116553686E-2</v>
      </c>
    </row>
    <row r="749" spans="1:3" x14ac:dyDescent="0.25">
      <c r="A749" s="1">
        <v>45274</v>
      </c>
      <c r="B749" s="2">
        <v>43375</v>
      </c>
      <c r="C749" s="3">
        <f>(VOO_data[[#This Row],[Último]]/B748)-1</f>
        <v>2.9365519792823314E-3</v>
      </c>
    </row>
    <row r="750" spans="1:3" x14ac:dyDescent="0.25">
      <c r="A750" s="1">
        <v>45275</v>
      </c>
      <c r="B750" s="2">
        <v>43309</v>
      </c>
      <c r="C750" s="3">
        <f>(VOO_data[[#This Row],[Último]]/B749)-1</f>
        <v>-1.521613832852986E-3</v>
      </c>
    </row>
    <row r="751" spans="1:3" x14ac:dyDescent="0.25">
      <c r="A751" s="1">
        <v>45278</v>
      </c>
      <c r="B751" s="2">
        <v>43554</v>
      </c>
      <c r="C751" s="3">
        <f>(VOO_data[[#This Row],[Último]]/B750)-1</f>
        <v>5.6570227897203562E-3</v>
      </c>
    </row>
    <row r="752" spans="1:3" x14ac:dyDescent="0.25">
      <c r="A752" s="1">
        <v>45279</v>
      </c>
      <c r="B752" s="2">
        <v>43819</v>
      </c>
      <c r="C752" s="3">
        <f>(VOO_data[[#This Row],[Último]]/B751)-1</f>
        <v>6.084400973504156E-3</v>
      </c>
    </row>
    <row r="753" spans="1:3" x14ac:dyDescent="0.25">
      <c r="A753" s="1">
        <v>45280</v>
      </c>
      <c r="B753" s="2">
        <v>43009</v>
      </c>
      <c r="C753" s="3">
        <f>(VOO_data[[#This Row],[Último]]/B752)-1</f>
        <v>-1.8485132020356509E-2</v>
      </c>
    </row>
    <row r="754" spans="1:3" x14ac:dyDescent="0.25">
      <c r="A754" s="1">
        <v>45281</v>
      </c>
      <c r="B754" s="2">
        <v>43428</v>
      </c>
      <c r="C754" s="3">
        <f>(VOO_data[[#This Row],[Último]]/B753)-1</f>
        <v>9.7421469924898751E-3</v>
      </c>
    </row>
    <row r="755" spans="1:3" x14ac:dyDescent="0.25">
      <c r="A755" s="1">
        <v>45282</v>
      </c>
      <c r="B755" s="2">
        <v>43529</v>
      </c>
      <c r="C755" s="3">
        <f>(VOO_data[[#This Row],[Último]]/B754)-1</f>
        <v>2.3256884959013124E-3</v>
      </c>
    </row>
    <row r="756" spans="1:3" x14ac:dyDescent="0.25">
      <c r="A756" s="1">
        <v>45286</v>
      </c>
      <c r="B756" s="2">
        <v>43710</v>
      </c>
      <c r="C756" s="3">
        <f>(VOO_data[[#This Row],[Último]]/B755)-1</f>
        <v>4.1581474419352116E-3</v>
      </c>
    </row>
    <row r="757" spans="1:3" x14ac:dyDescent="0.25">
      <c r="A757" s="1">
        <v>45287</v>
      </c>
      <c r="B757" s="2">
        <v>43790</v>
      </c>
      <c r="C757" s="3">
        <f>(VOO_data[[#This Row],[Último]]/B756)-1</f>
        <v>1.8302447952414092E-3</v>
      </c>
    </row>
    <row r="758" spans="1:3" x14ac:dyDescent="0.25">
      <c r="A758" s="1">
        <v>45288</v>
      </c>
      <c r="B758" s="2">
        <v>43797</v>
      </c>
      <c r="C758" s="3">
        <f>(VOO_data[[#This Row],[Último]]/B757)-1</f>
        <v>1.5985384791039614E-4</v>
      </c>
    </row>
    <row r="759" spans="1:3" x14ac:dyDescent="0.25">
      <c r="A759" s="1">
        <v>45289</v>
      </c>
      <c r="B759" s="2">
        <v>43680</v>
      </c>
      <c r="C759" s="3">
        <f>(VOO_data[[#This Row],[Último]]/B758)-1</f>
        <v>-2.6714158504007601E-3</v>
      </c>
    </row>
    <row r="760" spans="1:3" x14ac:dyDescent="0.25">
      <c r="A760" s="1">
        <v>45293</v>
      </c>
      <c r="B760" s="2">
        <v>43401</v>
      </c>
      <c r="C760" s="3">
        <f>(VOO_data[[#This Row],[Último]]/B759)-1</f>
        <v>-6.3873626373626147E-3</v>
      </c>
    </row>
    <row r="761" spans="1:3" x14ac:dyDescent="0.25">
      <c r="A761" s="1">
        <v>45294</v>
      </c>
      <c r="B761" s="2">
        <v>43079</v>
      </c>
      <c r="C761" s="3">
        <f>(VOO_data[[#This Row],[Último]]/B760)-1</f>
        <v>-7.4191838897721407E-3</v>
      </c>
    </row>
    <row r="762" spans="1:3" x14ac:dyDescent="0.25">
      <c r="A762" s="1">
        <v>45295</v>
      </c>
      <c r="B762" s="2">
        <v>42943</v>
      </c>
      <c r="C762" s="3">
        <f>(VOO_data[[#This Row],[Último]]/B761)-1</f>
        <v>-3.1569906450938934E-3</v>
      </c>
    </row>
    <row r="763" spans="1:3" x14ac:dyDescent="0.25">
      <c r="A763" s="1">
        <v>45296</v>
      </c>
      <c r="B763" s="2">
        <v>42998</v>
      </c>
      <c r="C763" s="3">
        <f>(VOO_data[[#This Row],[Último]]/B762)-1</f>
        <v>1.280767529050042E-3</v>
      </c>
    </row>
    <row r="764" spans="1:3" x14ac:dyDescent="0.25">
      <c r="A764" s="1">
        <v>45299</v>
      </c>
      <c r="B764" s="2">
        <v>43613</v>
      </c>
      <c r="C764" s="3">
        <f>(VOO_data[[#This Row],[Último]]/B763)-1</f>
        <v>1.4302990836783103E-2</v>
      </c>
    </row>
    <row r="765" spans="1:3" x14ac:dyDescent="0.25">
      <c r="A765" s="1">
        <v>45300</v>
      </c>
      <c r="B765" s="2">
        <v>43507</v>
      </c>
      <c r="C765" s="3">
        <f>(VOO_data[[#This Row],[Último]]/B764)-1</f>
        <v>-2.4304679797307882E-3</v>
      </c>
    </row>
    <row r="766" spans="1:3" x14ac:dyDescent="0.25">
      <c r="A766" s="1">
        <v>45301</v>
      </c>
      <c r="B766" s="2">
        <v>43794</v>
      </c>
      <c r="C766" s="3">
        <f>(VOO_data[[#This Row],[Último]]/B765)-1</f>
        <v>6.5966396212104872E-3</v>
      </c>
    </row>
    <row r="767" spans="1:3" x14ac:dyDescent="0.25">
      <c r="A767" s="1">
        <v>45302</v>
      </c>
      <c r="B767" s="2">
        <v>43779</v>
      </c>
      <c r="C767" s="3">
        <f>(VOO_data[[#This Row],[Último]]/B766)-1</f>
        <v>-3.4251267296891985E-4</v>
      </c>
    </row>
    <row r="768" spans="1:3" x14ac:dyDescent="0.25">
      <c r="A768" s="1">
        <v>45303</v>
      </c>
      <c r="B768" s="2">
        <v>43799</v>
      </c>
      <c r="C768" s="3">
        <f>(VOO_data[[#This Row],[Último]]/B767)-1</f>
        <v>4.5684003746093715E-4</v>
      </c>
    </row>
    <row r="769" spans="1:3" x14ac:dyDescent="0.25">
      <c r="A769" s="1">
        <v>45307</v>
      </c>
      <c r="B769" s="2">
        <v>43650</v>
      </c>
      <c r="C769" s="3">
        <f>(VOO_data[[#This Row],[Último]]/B768)-1</f>
        <v>-3.4019041530628513E-3</v>
      </c>
    </row>
    <row r="770" spans="1:3" x14ac:dyDescent="0.25">
      <c r="A770" s="1">
        <v>45308</v>
      </c>
      <c r="B770" s="2">
        <v>43407</v>
      </c>
      <c r="C770" s="3">
        <f>(VOO_data[[#This Row],[Último]]/B769)-1</f>
        <v>-5.5670103092783085E-3</v>
      </c>
    </row>
    <row r="771" spans="1:3" x14ac:dyDescent="0.25">
      <c r="A771" s="1">
        <v>45309</v>
      </c>
      <c r="B771" s="2">
        <v>43793</v>
      </c>
      <c r="C771" s="3">
        <f>(VOO_data[[#This Row],[Último]]/B770)-1</f>
        <v>8.8925749303108148E-3</v>
      </c>
    </row>
    <row r="772" spans="1:3" x14ac:dyDescent="0.25">
      <c r="A772" s="1">
        <v>45310</v>
      </c>
      <c r="B772" s="2">
        <v>44329</v>
      </c>
      <c r="C772" s="3">
        <f>(VOO_data[[#This Row],[Último]]/B771)-1</f>
        <v>1.2239398990706363E-2</v>
      </c>
    </row>
    <row r="773" spans="1:3" x14ac:dyDescent="0.25">
      <c r="A773" s="1">
        <v>45313</v>
      </c>
      <c r="B773" s="2">
        <v>44430</v>
      </c>
      <c r="C773" s="3">
        <f>(VOO_data[[#This Row],[Último]]/B772)-1</f>
        <v>2.278418191251852E-3</v>
      </c>
    </row>
    <row r="774" spans="1:3" x14ac:dyDescent="0.25">
      <c r="A774" s="1">
        <v>45314</v>
      </c>
      <c r="B774" s="2">
        <v>44562</v>
      </c>
      <c r="C774" s="3">
        <f>(VOO_data[[#This Row],[Último]]/B773)-1</f>
        <v>2.9709655638081589E-3</v>
      </c>
    </row>
    <row r="775" spans="1:3" x14ac:dyDescent="0.25">
      <c r="A775" s="1">
        <v>45315</v>
      </c>
      <c r="B775" s="2">
        <v>44599</v>
      </c>
      <c r="C775" s="3">
        <f>(VOO_data[[#This Row],[Último]]/B774)-1</f>
        <v>8.3030384632643006E-4</v>
      </c>
    </row>
    <row r="776" spans="1:3" x14ac:dyDescent="0.25">
      <c r="A776" s="1">
        <v>45316</v>
      </c>
      <c r="B776" s="2">
        <v>44850</v>
      </c>
      <c r="C776" s="3">
        <f>(VOO_data[[#This Row],[Último]]/B775)-1</f>
        <v>5.6279288773291025E-3</v>
      </c>
    </row>
    <row r="777" spans="1:3" x14ac:dyDescent="0.25">
      <c r="A777" s="1">
        <v>45317</v>
      </c>
      <c r="B777" s="2">
        <v>44823</v>
      </c>
      <c r="C777" s="3">
        <f>(VOO_data[[#This Row],[Último]]/B776)-1</f>
        <v>-6.0200668896326359E-4</v>
      </c>
    </row>
    <row r="778" spans="1:3" x14ac:dyDescent="0.25">
      <c r="A778" s="1">
        <v>45320</v>
      </c>
      <c r="B778" s="2">
        <v>45149</v>
      </c>
      <c r="C778" s="3">
        <f>(VOO_data[[#This Row],[Último]]/B777)-1</f>
        <v>7.2730517814514339E-3</v>
      </c>
    </row>
    <row r="779" spans="1:3" x14ac:dyDescent="0.25">
      <c r="A779" s="1">
        <v>45321</v>
      </c>
      <c r="B779" s="2">
        <v>45117</v>
      </c>
      <c r="C779" s="3">
        <f>(VOO_data[[#This Row],[Último]]/B778)-1</f>
        <v>-7.0876431371680315E-4</v>
      </c>
    </row>
    <row r="780" spans="1:3" x14ac:dyDescent="0.25">
      <c r="A780" s="1">
        <v>45322</v>
      </c>
      <c r="B780" s="2">
        <v>44382</v>
      </c>
      <c r="C780" s="3">
        <f>(VOO_data[[#This Row],[Último]]/B779)-1</f>
        <v>-1.6290976793669754E-2</v>
      </c>
    </row>
    <row r="781" spans="1:3" x14ac:dyDescent="0.25">
      <c r="A781" s="1">
        <v>45323</v>
      </c>
      <c r="B781" s="2">
        <v>44966</v>
      </c>
      <c r="C781" s="3">
        <f>(VOO_data[[#This Row],[Último]]/B780)-1</f>
        <v>1.3158487675183572E-2</v>
      </c>
    </row>
    <row r="782" spans="1:3" x14ac:dyDescent="0.25">
      <c r="A782" s="1">
        <v>45324</v>
      </c>
      <c r="B782" s="2">
        <v>45428</v>
      </c>
      <c r="C782" s="3">
        <f>(VOO_data[[#This Row],[Último]]/B781)-1</f>
        <v>1.0274429569007593E-2</v>
      </c>
    </row>
    <row r="783" spans="1:3" x14ac:dyDescent="0.25">
      <c r="A783" s="1">
        <v>45327</v>
      </c>
      <c r="B783" s="2">
        <v>45262</v>
      </c>
      <c r="C783" s="3">
        <f>(VOO_data[[#This Row],[Último]]/B782)-1</f>
        <v>-3.6541340142642875E-3</v>
      </c>
    </row>
    <row r="784" spans="1:3" x14ac:dyDescent="0.25">
      <c r="A784" s="1">
        <v>45328</v>
      </c>
      <c r="B784" s="2">
        <v>45403</v>
      </c>
      <c r="C784" s="3">
        <f>(VOO_data[[#This Row],[Último]]/B783)-1</f>
        <v>3.1151959701294363E-3</v>
      </c>
    </row>
    <row r="785" spans="1:3" x14ac:dyDescent="0.25">
      <c r="A785" s="1">
        <v>45329</v>
      </c>
      <c r="B785" s="2">
        <v>45776</v>
      </c>
      <c r="C785" s="3">
        <f>(VOO_data[[#This Row],[Último]]/B784)-1</f>
        <v>8.2153161685352138E-3</v>
      </c>
    </row>
    <row r="786" spans="1:3" x14ac:dyDescent="0.25">
      <c r="A786" s="1">
        <v>45330</v>
      </c>
      <c r="B786" s="2">
        <v>45807</v>
      </c>
      <c r="C786" s="3">
        <f>(VOO_data[[#This Row],[Último]]/B785)-1</f>
        <v>6.7721076546667369E-4</v>
      </c>
    </row>
    <row r="787" spans="1:3" x14ac:dyDescent="0.25">
      <c r="A787" s="1">
        <v>45331</v>
      </c>
      <c r="B787" s="2">
        <v>46067</v>
      </c>
      <c r="C787" s="3">
        <f>(VOO_data[[#This Row],[Último]]/B786)-1</f>
        <v>5.6759883860544313E-3</v>
      </c>
    </row>
    <row r="788" spans="1:3" x14ac:dyDescent="0.25">
      <c r="A788" s="1">
        <v>45334</v>
      </c>
      <c r="B788" s="2">
        <v>46046</v>
      </c>
      <c r="C788" s="3">
        <f>(VOO_data[[#This Row],[Último]]/B787)-1</f>
        <v>-4.5585777237500125E-4</v>
      </c>
    </row>
    <row r="789" spans="1:3" x14ac:dyDescent="0.25">
      <c r="A789" s="1">
        <v>45335</v>
      </c>
      <c r="B789" s="2">
        <v>45397</v>
      </c>
      <c r="C789" s="3">
        <f>(VOO_data[[#This Row],[Último]]/B788)-1</f>
        <v>-1.4094601051122813E-2</v>
      </c>
    </row>
    <row r="790" spans="1:3" x14ac:dyDescent="0.25">
      <c r="A790" s="1">
        <v>45336</v>
      </c>
      <c r="B790" s="2">
        <v>45829</v>
      </c>
      <c r="C790" s="3">
        <f>(VOO_data[[#This Row],[Último]]/B789)-1</f>
        <v>9.5160473159019432E-3</v>
      </c>
    </row>
    <row r="791" spans="1:3" x14ac:dyDescent="0.25">
      <c r="A791" s="1">
        <v>45337</v>
      </c>
      <c r="B791" s="2">
        <v>46139</v>
      </c>
      <c r="C791" s="3">
        <f>(VOO_data[[#This Row],[Último]]/B790)-1</f>
        <v>6.7642758951755866E-3</v>
      </c>
    </row>
    <row r="792" spans="1:3" x14ac:dyDescent="0.25">
      <c r="A792" s="1">
        <v>45338</v>
      </c>
      <c r="B792" s="2">
        <v>45903</v>
      </c>
      <c r="C792" s="3">
        <f>(VOO_data[[#This Row],[Último]]/B791)-1</f>
        <v>-5.1149786514662621E-3</v>
      </c>
    </row>
    <row r="793" spans="1:3" x14ac:dyDescent="0.25">
      <c r="A793" s="1">
        <v>45342</v>
      </c>
      <c r="B793" s="2">
        <v>45651</v>
      </c>
      <c r="C793" s="3">
        <f>(VOO_data[[#This Row],[Último]]/B792)-1</f>
        <v>-5.4898372655382E-3</v>
      </c>
    </row>
    <row r="794" spans="1:3" x14ac:dyDescent="0.25">
      <c r="A794" s="1">
        <v>45343</v>
      </c>
      <c r="B794" s="2">
        <v>45697</v>
      </c>
      <c r="C794" s="3">
        <f>(VOO_data[[#This Row],[Último]]/B793)-1</f>
        <v>1.0076449584894842E-3</v>
      </c>
    </row>
    <row r="795" spans="1:3" x14ac:dyDescent="0.25">
      <c r="A795" s="1">
        <v>45344</v>
      </c>
      <c r="B795" s="2">
        <v>46657</v>
      </c>
      <c r="C795" s="3">
        <f>(VOO_data[[#This Row],[Último]]/B794)-1</f>
        <v>2.1007943628684522E-2</v>
      </c>
    </row>
    <row r="796" spans="1:3" x14ac:dyDescent="0.25">
      <c r="A796" s="1">
        <v>45345</v>
      </c>
      <c r="B796" s="2">
        <v>46678</v>
      </c>
      <c r="C796" s="3">
        <f>(VOO_data[[#This Row],[Último]]/B795)-1</f>
        <v>4.5009323359845865E-4</v>
      </c>
    </row>
    <row r="797" spans="1:3" x14ac:dyDescent="0.25">
      <c r="A797" s="1">
        <v>45348</v>
      </c>
      <c r="B797" s="2">
        <v>46507</v>
      </c>
      <c r="C797" s="3">
        <f>(VOO_data[[#This Row],[Último]]/B796)-1</f>
        <v>-3.6633960323921855E-3</v>
      </c>
    </row>
    <row r="798" spans="1:3" x14ac:dyDescent="0.25">
      <c r="A798" s="1">
        <v>45349</v>
      </c>
      <c r="B798" s="2">
        <v>46593</v>
      </c>
      <c r="C798" s="3">
        <f>(VOO_data[[#This Row],[Último]]/B797)-1</f>
        <v>1.8491839938072907E-3</v>
      </c>
    </row>
    <row r="799" spans="1:3" x14ac:dyDescent="0.25">
      <c r="A799" s="1">
        <v>45350</v>
      </c>
      <c r="B799" s="2">
        <v>46521</v>
      </c>
      <c r="C799" s="3">
        <f>(VOO_data[[#This Row],[Último]]/B798)-1</f>
        <v>-1.5452965037666688E-3</v>
      </c>
    </row>
    <row r="800" spans="1:3" x14ac:dyDescent="0.25">
      <c r="A800" s="1">
        <v>45351</v>
      </c>
      <c r="B800" s="2">
        <v>46693</v>
      </c>
      <c r="C800" s="3">
        <f>(VOO_data[[#This Row],[Último]]/B799)-1</f>
        <v>3.697255003116906E-3</v>
      </c>
    </row>
    <row r="801" spans="1:3" x14ac:dyDescent="0.25">
      <c r="A801" s="1">
        <v>45352</v>
      </c>
      <c r="B801" s="2">
        <v>47143</v>
      </c>
      <c r="C801" s="3">
        <f>(VOO_data[[#This Row],[Último]]/B800)-1</f>
        <v>9.637418885057647E-3</v>
      </c>
    </row>
    <row r="802" spans="1:3" x14ac:dyDescent="0.25">
      <c r="A802" s="1">
        <v>45355</v>
      </c>
      <c r="B802" s="2">
        <v>47087</v>
      </c>
      <c r="C802" s="3">
        <f>(VOO_data[[#This Row],[Último]]/B801)-1</f>
        <v>-1.187875188257026E-3</v>
      </c>
    </row>
    <row r="803" spans="1:3" x14ac:dyDescent="0.25">
      <c r="A803" s="1">
        <v>45356</v>
      </c>
      <c r="B803" s="2">
        <v>46615</v>
      </c>
      <c r="C803" s="3">
        <f>(VOO_data[[#This Row],[Último]]/B802)-1</f>
        <v>-1.0023998131118983E-2</v>
      </c>
    </row>
    <row r="804" spans="1:3" x14ac:dyDescent="0.25">
      <c r="A804" s="1">
        <v>45357</v>
      </c>
      <c r="B804" s="2">
        <v>46862</v>
      </c>
      <c r="C804" s="3">
        <f>(VOO_data[[#This Row],[Último]]/B803)-1</f>
        <v>5.2987235868282578E-3</v>
      </c>
    </row>
    <row r="805" spans="1:3" x14ac:dyDescent="0.25">
      <c r="A805" s="1">
        <v>45358</v>
      </c>
      <c r="B805" s="2">
        <v>47326</v>
      </c>
      <c r="C805" s="3">
        <f>(VOO_data[[#This Row],[Último]]/B804)-1</f>
        <v>9.9014126584440199E-3</v>
      </c>
    </row>
    <row r="806" spans="1:3" x14ac:dyDescent="0.25">
      <c r="A806" s="1">
        <v>45359</v>
      </c>
      <c r="B806" s="2">
        <v>47039</v>
      </c>
      <c r="C806" s="3">
        <f>(VOO_data[[#This Row],[Último]]/B805)-1</f>
        <v>-6.0643198241980834E-3</v>
      </c>
    </row>
    <row r="807" spans="1:3" x14ac:dyDescent="0.25">
      <c r="A807" s="1">
        <v>45362</v>
      </c>
      <c r="B807" s="2">
        <v>47000</v>
      </c>
      <c r="C807" s="3">
        <f>(VOO_data[[#This Row],[Último]]/B806)-1</f>
        <v>-8.2909925806240459E-4</v>
      </c>
    </row>
    <row r="808" spans="1:3" x14ac:dyDescent="0.25">
      <c r="A808" s="1">
        <v>45363</v>
      </c>
      <c r="B808" s="2">
        <v>47503</v>
      </c>
      <c r="C808" s="3">
        <f>(VOO_data[[#This Row],[Último]]/B807)-1</f>
        <v>1.0702127659574456E-2</v>
      </c>
    </row>
    <row r="809" spans="1:3" x14ac:dyDescent="0.25">
      <c r="A809" s="1">
        <v>45364</v>
      </c>
      <c r="B809" s="2">
        <v>47431</v>
      </c>
      <c r="C809" s="3">
        <f>(VOO_data[[#This Row],[Último]]/B808)-1</f>
        <v>-1.5156937456581865E-3</v>
      </c>
    </row>
    <row r="810" spans="1:3" x14ac:dyDescent="0.25">
      <c r="A810" s="1">
        <v>45365</v>
      </c>
      <c r="B810" s="2">
        <v>47327</v>
      </c>
      <c r="C810" s="3">
        <f>(VOO_data[[#This Row],[Último]]/B809)-1</f>
        <v>-2.1926588096392585E-3</v>
      </c>
    </row>
    <row r="811" spans="1:3" x14ac:dyDescent="0.25">
      <c r="A811" s="1">
        <v>45366</v>
      </c>
      <c r="B811" s="2">
        <v>47001</v>
      </c>
      <c r="C811" s="3">
        <f>(VOO_data[[#This Row],[Último]]/B810)-1</f>
        <v>-6.8882456103281919E-3</v>
      </c>
    </row>
    <row r="812" spans="1:3" x14ac:dyDescent="0.25">
      <c r="A812" s="1">
        <v>45369</v>
      </c>
      <c r="B812" s="2">
        <v>47295</v>
      </c>
      <c r="C812" s="3">
        <f>(VOO_data[[#This Row],[Último]]/B811)-1</f>
        <v>6.2551860598709652E-3</v>
      </c>
    </row>
    <row r="813" spans="1:3" x14ac:dyDescent="0.25">
      <c r="A813" s="1">
        <v>45370</v>
      </c>
      <c r="B813" s="2">
        <v>47560</v>
      </c>
      <c r="C813" s="3">
        <f>(VOO_data[[#This Row],[Último]]/B812)-1</f>
        <v>5.6031292948515166E-3</v>
      </c>
    </row>
    <row r="814" spans="1:3" x14ac:dyDescent="0.25">
      <c r="A814" s="1">
        <v>45371</v>
      </c>
      <c r="B814" s="2">
        <v>47975</v>
      </c>
      <c r="C814" s="3">
        <f>(VOO_data[[#This Row],[Último]]/B813)-1</f>
        <v>8.7258200168207622E-3</v>
      </c>
    </row>
    <row r="815" spans="1:3" x14ac:dyDescent="0.25">
      <c r="A815" s="1">
        <v>45372</v>
      </c>
      <c r="B815" s="2">
        <v>48135</v>
      </c>
      <c r="C815" s="3">
        <f>(VOO_data[[#This Row],[Último]]/B814)-1</f>
        <v>3.3350703491401568E-3</v>
      </c>
    </row>
    <row r="816" spans="1:3" x14ac:dyDescent="0.25">
      <c r="A816" s="1">
        <v>45373</v>
      </c>
      <c r="B816" s="2">
        <v>47918</v>
      </c>
      <c r="C816" s="3">
        <f>(VOO_data[[#This Row],[Último]]/B815)-1</f>
        <v>-4.5081541497870026E-3</v>
      </c>
    </row>
    <row r="817" spans="1:3" x14ac:dyDescent="0.25">
      <c r="A817" s="1">
        <v>45376</v>
      </c>
      <c r="B817" s="2">
        <v>47794</v>
      </c>
      <c r="C817" s="3">
        <f>(VOO_data[[#This Row],[Último]]/B816)-1</f>
        <v>-2.5877540798864285E-3</v>
      </c>
    </row>
    <row r="818" spans="1:3" x14ac:dyDescent="0.25">
      <c r="A818" s="1">
        <v>45377</v>
      </c>
      <c r="B818" s="2">
        <v>47660</v>
      </c>
      <c r="C818" s="3">
        <f>(VOO_data[[#This Row],[Último]]/B817)-1</f>
        <v>-2.8036992091057256E-3</v>
      </c>
    </row>
    <row r="819" spans="1:3" x14ac:dyDescent="0.25">
      <c r="A819" s="1">
        <v>45378</v>
      </c>
      <c r="B819" s="2">
        <v>48076</v>
      </c>
      <c r="C819" s="3">
        <f>(VOO_data[[#This Row],[Último]]/B818)-1</f>
        <v>8.7284934955937921E-3</v>
      </c>
    </row>
    <row r="820" spans="1:3" x14ac:dyDescent="0.25">
      <c r="A820" s="1">
        <v>45379</v>
      </c>
      <c r="B820" s="2">
        <v>48070</v>
      </c>
      <c r="C820" s="3">
        <f>(VOO_data[[#This Row],[Último]]/B819)-1</f>
        <v>-1.2480239620604738E-4</v>
      </c>
    </row>
    <row r="821" spans="1:3" x14ac:dyDescent="0.25">
      <c r="A821" s="1">
        <v>45383</v>
      </c>
      <c r="B821" s="2">
        <v>48007</v>
      </c>
      <c r="C821" s="3">
        <f>(VOO_data[[#This Row],[Último]]/B820)-1</f>
        <v>-1.310588724776407E-3</v>
      </c>
    </row>
    <row r="822" spans="1:3" x14ac:dyDescent="0.25">
      <c r="A822" s="1">
        <v>45384</v>
      </c>
      <c r="B822" s="2">
        <v>47693</v>
      </c>
      <c r="C822" s="3">
        <f>(VOO_data[[#This Row],[Último]]/B821)-1</f>
        <v>-6.5407128127148439E-3</v>
      </c>
    </row>
    <row r="823" spans="1:3" x14ac:dyDescent="0.25">
      <c r="A823" s="1">
        <v>45385</v>
      </c>
      <c r="B823" s="2">
        <v>47736</v>
      </c>
      <c r="C823" s="3">
        <f>(VOO_data[[#This Row],[Último]]/B822)-1</f>
        <v>9.0159981548665336E-4</v>
      </c>
    </row>
    <row r="824" spans="1:3" x14ac:dyDescent="0.25">
      <c r="A824" s="1">
        <v>45386</v>
      </c>
      <c r="B824" s="2">
        <v>47148</v>
      </c>
      <c r="C824" s="3">
        <f>(VOO_data[[#This Row],[Último]]/B823)-1</f>
        <v>-1.2317747611865215E-2</v>
      </c>
    </row>
    <row r="825" spans="1:3" x14ac:dyDescent="0.25">
      <c r="A825" s="1">
        <v>45387</v>
      </c>
      <c r="B825" s="2">
        <v>47649</v>
      </c>
      <c r="C825" s="3">
        <f>(VOO_data[[#This Row],[Último]]/B824)-1</f>
        <v>1.062611351488929E-2</v>
      </c>
    </row>
    <row r="826" spans="1:3" x14ac:dyDescent="0.25">
      <c r="A826" s="1">
        <v>45390</v>
      </c>
      <c r="B826" s="2">
        <v>47668</v>
      </c>
      <c r="C826" s="3">
        <f>(VOO_data[[#This Row],[Último]]/B825)-1</f>
        <v>3.9874918676163773E-4</v>
      </c>
    </row>
    <row r="827" spans="1:3" x14ac:dyDescent="0.25">
      <c r="A827" s="1">
        <v>45391</v>
      </c>
      <c r="B827" s="2">
        <v>47727</v>
      </c>
      <c r="C827" s="3">
        <f>(VOO_data[[#This Row],[Último]]/B826)-1</f>
        <v>1.2377276160107087E-3</v>
      </c>
    </row>
    <row r="828" spans="1:3" x14ac:dyDescent="0.25">
      <c r="A828" s="1">
        <v>45392</v>
      </c>
      <c r="B828" s="2">
        <v>47265</v>
      </c>
      <c r="C828" s="3">
        <f>(VOO_data[[#This Row],[Último]]/B827)-1</f>
        <v>-9.6800553146018098E-3</v>
      </c>
    </row>
    <row r="829" spans="1:3" x14ac:dyDescent="0.25">
      <c r="A829" s="1">
        <v>45393</v>
      </c>
      <c r="B829" s="2">
        <v>47606</v>
      </c>
      <c r="C829" s="3">
        <f>(VOO_data[[#This Row],[Último]]/B828)-1</f>
        <v>7.2146408547550944E-3</v>
      </c>
    </row>
    <row r="830" spans="1:3" x14ac:dyDescent="0.25">
      <c r="A830" s="1">
        <v>45394</v>
      </c>
      <c r="B830" s="2">
        <v>46957</v>
      </c>
      <c r="C830" s="3">
        <f>(VOO_data[[#This Row],[Último]]/B829)-1</f>
        <v>-1.3632735369491278E-2</v>
      </c>
    </row>
    <row r="831" spans="1:3" x14ac:dyDescent="0.25">
      <c r="A831" s="1">
        <v>45397</v>
      </c>
      <c r="B831" s="2">
        <v>46361</v>
      </c>
      <c r="C831" s="3">
        <f>(VOO_data[[#This Row],[Último]]/B830)-1</f>
        <v>-1.2692463317503289E-2</v>
      </c>
    </row>
    <row r="832" spans="1:3" x14ac:dyDescent="0.25">
      <c r="A832" s="1">
        <v>45398</v>
      </c>
      <c r="B832" s="2">
        <v>46278</v>
      </c>
      <c r="C832" s="3">
        <f>(VOO_data[[#This Row],[Último]]/B831)-1</f>
        <v>-1.7902978796833224E-3</v>
      </c>
    </row>
    <row r="833" spans="1:3" x14ac:dyDescent="0.25">
      <c r="A833" s="1">
        <v>45399</v>
      </c>
      <c r="B833" s="2">
        <v>45999</v>
      </c>
      <c r="C833" s="3">
        <f>(VOO_data[[#This Row],[Último]]/B832)-1</f>
        <v>-6.0287825748736035E-3</v>
      </c>
    </row>
    <row r="834" spans="1:3" x14ac:dyDescent="0.25">
      <c r="A834" s="1">
        <v>45400</v>
      </c>
      <c r="B834" s="2">
        <v>45894</v>
      </c>
      <c r="C834" s="3">
        <f>(VOO_data[[#This Row],[Último]]/B833)-1</f>
        <v>-2.2826583186591476E-3</v>
      </c>
    </row>
    <row r="835" spans="1:3" x14ac:dyDescent="0.25">
      <c r="A835" s="1">
        <v>45401</v>
      </c>
      <c r="B835" s="2">
        <v>45510</v>
      </c>
      <c r="C835" s="3">
        <f>(VOO_data[[#This Row],[Último]]/B834)-1</f>
        <v>-8.3671068113478908E-3</v>
      </c>
    </row>
    <row r="836" spans="1:3" x14ac:dyDescent="0.25">
      <c r="A836" s="1">
        <v>45404</v>
      </c>
      <c r="B836" s="2">
        <v>45905</v>
      </c>
      <c r="C836" s="3">
        <f>(VOO_data[[#This Row],[Último]]/B835)-1</f>
        <v>8.6794111184353984E-3</v>
      </c>
    </row>
    <row r="837" spans="1:3" x14ac:dyDescent="0.25">
      <c r="A837" s="1">
        <v>45405</v>
      </c>
      <c r="B837" s="2">
        <v>46484</v>
      </c>
      <c r="C837" s="3">
        <f>(VOO_data[[#This Row],[Último]]/B836)-1</f>
        <v>1.2613005119268106E-2</v>
      </c>
    </row>
    <row r="838" spans="1:3" x14ac:dyDescent="0.25">
      <c r="A838" s="1">
        <v>45406</v>
      </c>
      <c r="B838" s="2">
        <v>46450</v>
      </c>
      <c r="C838" s="3">
        <f>(VOO_data[[#This Row],[Último]]/B837)-1</f>
        <v>-7.3143447207646428E-4</v>
      </c>
    </row>
    <row r="839" spans="1:3" x14ac:dyDescent="0.25">
      <c r="A839" s="1">
        <v>45407</v>
      </c>
      <c r="B839" s="2">
        <v>46258</v>
      </c>
      <c r="C839" s="3">
        <f>(VOO_data[[#This Row],[Último]]/B838)-1</f>
        <v>-4.1334768568352942E-3</v>
      </c>
    </row>
    <row r="840" spans="1:3" x14ac:dyDescent="0.25">
      <c r="A840" s="1">
        <v>45408</v>
      </c>
      <c r="B840" s="2">
        <v>46721</v>
      </c>
      <c r="C840" s="3">
        <f>(VOO_data[[#This Row],[Último]]/B839)-1</f>
        <v>1.0009079510571173E-2</v>
      </c>
    </row>
    <row r="841" spans="1:3" x14ac:dyDescent="0.25">
      <c r="A841" s="1">
        <v>45411</v>
      </c>
      <c r="B841" s="2">
        <v>46884</v>
      </c>
      <c r="C841" s="3">
        <f>(VOO_data[[#This Row],[Último]]/B840)-1</f>
        <v>3.4887951884592372E-3</v>
      </c>
    </row>
    <row r="842" spans="1:3" x14ac:dyDescent="0.25">
      <c r="A842" s="1">
        <v>45412</v>
      </c>
      <c r="B842" s="2">
        <v>46143</v>
      </c>
      <c r="C842" s="3">
        <f>(VOO_data[[#This Row],[Último]]/B841)-1</f>
        <v>-1.5804965446634234E-2</v>
      </c>
    </row>
    <row r="843" spans="1:3" x14ac:dyDescent="0.25">
      <c r="A843" s="1">
        <v>45413</v>
      </c>
      <c r="B843" s="2">
        <v>45993</v>
      </c>
      <c r="C843" s="3">
        <f>(VOO_data[[#This Row],[Último]]/B842)-1</f>
        <v>-3.2507639295233925E-3</v>
      </c>
    </row>
    <row r="844" spans="1:3" x14ac:dyDescent="0.25">
      <c r="A844" s="1">
        <v>45414</v>
      </c>
      <c r="B844" s="2">
        <v>46422</v>
      </c>
      <c r="C844" s="3">
        <f>(VOO_data[[#This Row],[Último]]/B843)-1</f>
        <v>9.3275063596633956E-3</v>
      </c>
    </row>
    <row r="845" spans="1:3" x14ac:dyDescent="0.25">
      <c r="A845" s="1">
        <v>45415</v>
      </c>
      <c r="B845" s="2">
        <v>46998</v>
      </c>
      <c r="C845" s="3">
        <f>(VOO_data[[#This Row],[Último]]/B844)-1</f>
        <v>1.2407910042652182E-2</v>
      </c>
    </row>
    <row r="846" spans="1:3" x14ac:dyDescent="0.25">
      <c r="A846" s="1">
        <v>45418</v>
      </c>
      <c r="B846" s="2">
        <v>47472</v>
      </c>
      <c r="C846" s="3">
        <f>(VOO_data[[#This Row],[Último]]/B845)-1</f>
        <v>1.0085535554704483E-2</v>
      </c>
    </row>
    <row r="847" spans="1:3" x14ac:dyDescent="0.25">
      <c r="A847" s="1">
        <v>45419</v>
      </c>
      <c r="B847" s="2">
        <v>47540</v>
      </c>
      <c r="C847" s="3">
        <f>(VOO_data[[#This Row],[Último]]/B846)-1</f>
        <v>1.4324233232221317E-3</v>
      </c>
    </row>
    <row r="848" spans="1:3" x14ac:dyDescent="0.25">
      <c r="A848" s="1">
        <v>45420</v>
      </c>
      <c r="B848" s="2">
        <v>47542</v>
      </c>
      <c r="C848" s="3">
        <f>(VOO_data[[#This Row],[Último]]/B847)-1</f>
        <v>4.2069835927582844E-5</v>
      </c>
    </row>
    <row r="849" spans="1:3" x14ac:dyDescent="0.25">
      <c r="A849" s="1">
        <v>45421</v>
      </c>
      <c r="B849" s="2">
        <v>47815</v>
      </c>
      <c r="C849" s="3">
        <f>(VOO_data[[#This Row],[Último]]/B848)-1</f>
        <v>5.7422910268813965E-3</v>
      </c>
    </row>
    <row r="850" spans="1:3" x14ac:dyDescent="0.25">
      <c r="A850" s="1">
        <v>45422</v>
      </c>
      <c r="B850" s="2">
        <v>47874</v>
      </c>
      <c r="C850" s="3">
        <f>(VOO_data[[#This Row],[Último]]/B849)-1</f>
        <v>1.2339224092858814E-3</v>
      </c>
    </row>
    <row r="851" spans="1:3" x14ac:dyDescent="0.25">
      <c r="A851" s="1">
        <v>45425</v>
      </c>
      <c r="B851" s="2">
        <v>47877</v>
      </c>
      <c r="C851" s="3">
        <f>(VOO_data[[#This Row],[Último]]/B850)-1</f>
        <v>6.266449429759291E-5</v>
      </c>
    </row>
    <row r="852" spans="1:3" x14ac:dyDescent="0.25">
      <c r="A852" s="1">
        <v>45426</v>
      </c>
      <c r="B852" s="2">
        <v>48104</v>
      </c>
      <c r="C852" s="3">
        <f>(VOO_data[[#This Row],[Último]]/B851)-1</f>
        <v>4.7413162896590144E-3</v>
      </c>
    </row>
    <row r="853" spans="1:3" x14ac:dyDescent="0.25">
      <c r="A853" s="1">
        <v>45427</v>
      </c>
      <c r="B853" s="2">
        <v>48690</v>
      </c>
      <c r="C853" s="3">
        <f>(VOO_data[[#This Row],[Último]]/B852)-1</f>
        <v>1.2181939131880926E-2</v>
      </c>
    </row>
    <row r="854" spans="1:3" x14ac:dyDescent="0.25">
      <c r="A854" s="1">
        <v>45428</v>
      </c>
      <c r="B854" s="2">
        <v>48597</v>
      </c>
      <c r="C854" s="3">
        <f>(VOO_data[[#This Row],[Último]]/B853)-1</f>
        <v>-1.9100431300062004E-3</v>
      </c>
    </row>
    <row r="855" spans="1:3" x14ac:dyDescent="0.25">
      <c r="A855" s="1">
        <v>45429</v>
      </c>
      <c r="B855" s="2">
        <v>48669</v>
      </c>
      <c r="C855" s="3">
        <f>(VOO_data[[#This Row],[Último]]/B854)-1</f>
        <v>1.4815729366011166E-3</v>
      </c>
    </row>
    <row r="856" spans="1:3" x14ac:dyDescent="0.25">
      <c r="A856" s="1">
        <v>45432</v>
      </c>
      <c r="B856" s="2">
        <v>48717</v>
      </c>
      <c r="C856" s="3">
        <f>(VOO_data[[#This Row],[Último]]/B855)-1</f>
        <v>9.8625408370822676E-4</v>
      </c>
    </row>
    <row r="857" spans="1:3" x14ac:dyDescent="0.25">
      <c r="A857" s="1">
        <v>45433</v>
      </c>
      <c r="B857" s="2">
        <v>48848</v>
      </c>
      <c r="C857" s="3">
        <f>(VOO_data[[#This Row],[Último]]/B856)-1</f>
        <v>2.6889997331527304E-3</v>
      </c>
    </row>
    <row r="858" spans="1:3" x14ac:dyDescent="0.25">
      <c r="A858" s="1">
        <v>45434</v>
      </c>
      <c r="B858" s="2">
        <v>48706</v>
      </c>
      <c r="C858" s="3">
        <f>(VOO_data[[#This Row],[Último]]/B857)-1</f>
        <v>-2.9069767441860517E-3</v>
      </c>
    </row>
    <row r="859" spans="1:3" x14ac:dyDescent="0.25">
      <c r="A859" s="1">
        <v>45435</v>
      </c>
      <c r="B859" s="2">
        <v>48344</v>
      </c>
      <c r="C859" s="3">
        <f>(VOO_data[[#This Row],[Último]]/B858)-1</f>
        <v>-7.4323491972241307E-3</v>
      </c>
    </row>
    <row r="860" spans="1:3" x14ac:dyDescent="0.25">
      <c r="A860" s="1">
        <v>45436</v>
      </c>
      <c r="B860" s="2">
        <v>48673</v>
      </c>
      <c r="C860" s="3">
        <f>(VOO_data[[#This Row],[Último]]/B859)-1</f>
        <v>6.8053946715207481E-3</v>
      </c>
    </row>
    <row r="861" spans="1:3" x14ac:dyDescent="0.25">
      <c r="A861" s="1">
        <v>45440</v>
      </c>
      <c r="B861" s="2">
        <v>48712</v>
      </c>
      <c r="C861" s="3">
        <f>(VOO_data[[#This Row],[Último]]/B860)-1</f>
        <v>8.012655887248421E-4</v>
      </c>
    </row>
    <row r="862" spans="1:3" x14ac:dyDescent="0.25">
      <c r="A862" s="1">
        <v>45441</v>
      </c>
      <c r="B862" s="2">
        <v>48369</v>
      </c>
      <c r="C862" s="3">
        <f>(VOO_data[[#This Row],[Último]]/B861)-1</f>
        <v>-7.0413861060929506E-3</v>
      </c>
    </row>
    <row r="863" spans="1:3" x14ac:dyDescent="0.25">
      <c r="A863" s="1">
        <v>45442</v>
      </c>
      <c r="B863" s="2">
        <v>48044</v>
      </c>
      <c r="C863" s="3">
        <f>(VOO_data[[#This Row],[Último]]/B862)-1</f>
        <v>-6.7191796398520243E-3</v>
      </c>
    </row>
    <row r="864" spans="1:3" x14ac:dyDescent="0.25">
      <c r="A864" s="1">
        <v>45443</v>
      </c>
      <c r="B864" s="2">
        <v>48462</v>
      </c>
      <c r="C864" s="3">
        <f>(VOO_data[[#This Row],[Último]]/B863)-1</f>
        <v>8.7003580051618901E-3</v>
      </c>
    </row>
    <row r="865" spans="1:3" x14ac:dyDescent="0.25">
      <c r="A865" s="1">
        <v>45446</v>
      </c>
      <c r="B865" s="2">
        <v>48515</v>
      </c>
      <c r="C865" s="3">
        <f>(VOO_data[[#This Row],[Último]]/B864)-1</f>
        <v>1.0936403780281712E-3</v>
      </c>
    </row>
    <row r="866" spans="1:3" x14ac:dyDescent="0.25">
      <c r="A866" s="1">
        <v>45447</v>
      </c>
      <c r="B866" s="2">
        <v>48574</v>
      </c>
      <c r="C866" s="3">
        <f>(VOO_data[[#This Row],[Último]]/B865)-1</f>
        <v>1.2161187261672257E-3</v>
      </c>
    </row>
    <row r="867" spans="1:3" x14ac:dyDescent="0.25">
      <c r="A867" s="1">
        <v>45448</v>
      </c>
      <c r="B867" s="2">
        <v>49155</v>
      </c>
      <c r="C867" s="3">
        <f>(VOO_data[[#This Row],[Último]]/B866)-1</f>
        <v>1.19611314695105E-2</v>
      </c>
    </row>
    <row r="868" spans="1:3" x14ac:dyDescent="0.25">
      <c r="A868" s="1">
        <v>45449</v>
      </c>
      <c r="B868" s="2">
        <v>49144</v>
      </c>
      <c r="C868" s="3">
        <f>(VOO_data[[#This Row],[Último]]/B867)-1</f>
        <v>-2.2378191435257211E-4</v>
      </c>
    </row>
    <row r="869" spans="1:3" x14ac:dyDescent="0.25">
      <c r="A869" s="1">
        <v>45450</v>
      </c>
      <c r="B869" s="2">
        <v>49080</v>
      </c>
      <c r="C869" s="3">
        <f>(VOO_data[[#This Row],[Último]]/B868)-1</f>
        <v>-1.3022952954582223E-3</v>
      </c>
    </row>
    <row r="870" spans="1:3" x14ac:dyDescent="0.25">
      <c r="A870" s="1">
        <v>45453</v>
      </c>
      <c r="B870" s="2">
        <v>49241</v>
      </c>
      <c r="C870" s="3">
        <f>(VOO_data[[#This Row],[Último]]/B869)-1</f>
        <v>3.2803585982070782E-3</v>
      </c>
    </row>
    <row r="871" spans="1:3" x14ac:dyDescent="0.25">
      <c r="A871" s="1">
        <v>45454</v>
      </c>
      <c r="B871" s="2">
        <v>49353</v>
      </c>
      <c r="C871" s="3">
        <f>(VOO_data[[#This Row],[Último]]/B870)-1</f>
        <v>2.2745273247903874E-3</v>
      </c>
    </row>
    <row r="872" spans="1:3" x14ac:dyDescent="0.25">
      <c r="A872" s="1">
        <v>45455</v>
      </c>
      <c r="B872" s="2">
        <v>49764</v>
      </c>
      <c r="C872" s="3">
        <f>(VOO_data[[#This Row],[Último]]/B871)-1</f>
        <v>8.3277612303203075E-3</v>
      </c>
    </row>
    <row r="873" spans="1:3" x14ac:dyDescent="0.25">
      <c r="A873" s="1">
        <v>45456</v>
      </c>
      <c r="B873" s="2">
        <v>49858</v>
      </c>
      <c r="C873" s="3">
        <f>(VOO_data[[#This Row],[Último]]/B872)-1</f>
        <v>1.8889156820192099E-3</v>
      </c>
    </row>
    <row r="874" spans="1:3" x14ac:dyDescent="0.25">
      <c r="A874" s="1">
        <v>45457</v>
      </c>
      <c r="B874" s="2">
        <v>49898</v>
      </c>
      <c r="C874" s="3">
        <f>(VOO_data[[#This Row],[Último]]/B873)-1</f>
        <v>8.022784708572317E-4</v>
      </c>
    </row>
    <row r="875" spans="1:3" x14ac:dyDescent="0.25">
      <c r="A875" s="1">
        <v>45460</v>
      </c>
      <c r="B875" s="2">
        <v>50294</v>
      </c>
      <c r="C875" s="3">
        <f>(VOO_data[[#This Row],[Último]]/B874)-1</f>
        <v>7.9361898272476417E-3</v>
      </c>
    </row>
    <row r="876" spans="1:3" x14ac:dyDescent="0.25">
      <c r="A876" s="1">
        <v>45461</v>
      </c>
      <c r="B876" s="2">
        <v>50428</v>
      </c>
      <c r="C876" s="3">
        <f>(VOO_data[[#This Row],[Último]]/B875)-1</f>
        <v>2.6643337177396642E-3</v>
      </c>
    </row>
    <row r="877" spans="1:3" x14ac:dyDescent="0.25">
      <c r="A877" s="1">
        <v>45463</v>
      </c>
      <c r="B877" s="2">
        <v>50288</v>
      </c>
      <c r="C877" s="3">
        <f>(VOO_data[[#This Row],[Último]]/B876)-1</f>
        <v>-2.7762354247640175E-3</v>
      </c>
    </row>
    <row r="878" spans="1:3" x14ac:dyDescent="0.25">
      <c r="A878" s="1">
        <v>45464</v>
      </c>
      <c r="B878" s="2">
        <v>50178</v>
      </c>
      <c r="C878" s="3">
        <f>(VOO_data[[#This Row],[Último]]/B877)-1</f>
        <v>-2.1874005727012813E-3</v>
      </c>
    </row>
    <row r="879" spans="1:3" x14ac:dyDescent="0.25">
      <c r="A879" s="1">
        <v>45467</v>
      </c>
      <c r="B879" s="2">
        <v>50043</v>
      </c>
      <c r="C879" s="3">
        <f>(VOO_data[[#This Row],[Último]]/B878)-1</f>
        <v>-2.6904220973335002E-3</v>
      </c>
    </row>
    <row r="880" spans="1:3" x14ac:dyDescent="0.25">
      <c r="A880" s="1">
        <v>45468</v>
      </c>
      <c r="B880" s="2">
        <v>50251</v>
      </c>
      <c r="C880" s="3">
        <f>(VOO_data[[#This Row],[Último]]/B879)-1</f>
        <v>4.1564254740922291E-3</v>
      </c>
    </row>
    <row r="881" spans="1:3" x14ac:dyDescent="0.25">
      <c r="A881" s="1">
        <v>45469</v>
      </c>
      <c r="B881" s="2">
        <v>50307</v>
      </c>
      <c r="C881" s="3">
        <f>(VOO_data[[#This Row],[Último]]/B880)-1</f>
        <v>1.1144056834688776E-3</v>
      </c>
    </row>
    <row r="882" spans="1:3" x14ac:dyDescent="0.25">
      <c r="A882" s="1">
        <v>45470</v>
      </c>
      <c r="B882" s="2">
        <v>50385</v>
      </c>
      <c r="C882" s="3">
        <f>(VOO_data[[#This Row],[Último]]/B881)-1</f>
        <v>1.5504800524777096E-3</v>
      </c>
    </row>
    <row r="883" spans="1:3" x14ac:dyDescent="0.25">
      <c r="A883" s="1">
        <v>45471</v>
      </c>
      <c r="B883" s="2">
        <v>50013</v>
      </c>
      <c r="C883" s="3">
        <f>(VOO_data[[#This Row],[Último]]/B882)-1</f>
        <v>-7.3831497469485363E-3</v>
      </c>
    </row>
    <row r="884" spans="1:3" x14ac:dyDescent="0.25">
      <c r="A884" s="1">
        <v>45474</v>
      </c>
      <c r="B884" s="2">
        <v>50128</v>
      </c>
      <c r="C884" s="3">
        <f>(VOO_data[[#This Row],[Último]]/B883)-1</f>
        <v>2.2994021554396671E-3</v>
      </c>
    </row>
    <row r="885" spans="1:3" x14ac:dyDescent="0.25">
      <c r="A885" s="1">
        <v>45475</v>
      </c>
      <c r="B885" s="2">
        <v>50453</v>
      </c>
      <c r="C885" s="3">
        <f>(VOO_data[[#This Row],[Último]]/B884)-1</f>
        <v>6.483402489626533E-3</v>
      </c>
    </row>
    <row r="886" spans="1:3" x14ac:dyDescent="0.25">
      <c r="A886" s="1">
        <v>45476</v>
      </c>
      <c r="B886" s="2">
        <v>50681</v>
      </c>
      <c r="C886" s="3">
        <f>(VOO_data[[#This Row],[Último]]/B885)-1</f>
        <v>4.5190573404951806E-3</v>
      </c>
    </row>
    <row r="887" spans="1:3" x14ac:dyDescent="0.25">
      <c r="A887" s="1">
        <v>45478</v>
      </c>
      <c r="B887" s="2">
        <v>50984</v>
      </c>
      <c r="C887" s="3">
        <f>(VOO_data[[#This Row],[Último]]/B886)-1</f>
        <v>5.9785718513840624E-3</v>
      </c>
    </row>
    <row r="888" spans="1:3" x14ac:dyDescent="0.25">
      <c r="A888" s="1">
        <v>45481</v>
      </c>
      <c r="B888" s="2">
        <v>51033</v>
      </c>
      <c r="C888" s="3">
        <f>(VOO_data[[#This Row],[Último]]/B887)-1</f>
        <v>9.6108583084886234E-4</v>
      </c>
    </row>
    <row r="889" spans="1:3" x14ac:dyDescent="0.25">
      <c r="A889" s="1">
        <v>45482</v>
      </c>
      <c r="B889" s="2">
        <v>51089</v>
      </c>
      <c r="C889" s="3">
        <f>(VOO_data[[#This Row],[Último]]/B888)-1</f>
        <v>1.0973291791585016E-3</v>
      </c>
    </row>
    <row r="890" spans="1:3" x14ac:dyDescent="0.25">
      <c r="A890" s="1">
        <v>45483</v>
      </c>
      <c r="B890" s="2">
        <v>51581</v>
      </c>
      <c r="C890" s="3">
        <f>(VOO_data[[#This Row],[Último]]/B889)-1</f>
        <v>9.6302530877487857E-3</v>
      </c>
    </row>
    <row r="891" spans="1:3" x14ac:dyDescent="0.25">
      <c r="A891" s="1">
        <v>45484</v>
      </c>
      <c r="B891" s="2">
        <v>51139</v>
      </c>
      <c r="C891" s="3">
        <f>(VOO_data[[#This Row],[Último]]/B890)-1</f>
        <v>-8.5690467420174166E-3</v>
      </c>
    </row>
    <row r="892" spans="1:3" x14ac:dyDescent="0.25">
      <c r="A892" s="1">
        <v>45485</v>
      </c>
      <c r="B892" s="2">
        <v>51455</v>
      </c>
      <c r="C892" s="3">
        <f>(VOO_data[[#This Row],[Último]]/B891)-1</f>
        <v>6.1792369815600878E-3</v>
      </c>
    </row>
    <row r="893" spans="1:3" x14ac:dyDescent="0.25">
      <c r="A893" s="1">
        <v>45488</v>
      </c>
      <c r="B893" s="2">
        <v>51611</v>
      </c>
      <c r="C893" s="3">
        <f>(VOO_data[[#This Row],[Último]]/B892)-1</f>
        <v>3.0317753376736256E-3</v>
      </c>
    </row>
    <row r="894" spans="1:3" x14ac:dyDescent="0.25">
      <c r="A894" s="1">
        <v>45489</v>
      </c>
      <c r="B894" s="2">
        <v>51904</v>
      </c>
      <c r="C894" s="3">
        <f>(VOO_data[[#This Row],[Último]]/B893)-1</f>
        <v>5.6770843424851503E-3</v>
      </c>
    </row>
    <row r="895" spans="1:3" x14ac:dyDescent="0.25">
      <c r="A895" s="1">
        <v>45490</v>
      </c>
      <c r="B895" s="2">
        <v>51179</v>
      </c>
      <c r="C895" s="3">
        <f>(VOO_data[[#This Row],[Último]]/B894)-1</f>
        <v>-1.3968094944512899E-2</v>
      </c>
    </row>
    <row r="896" spans="1:3" x14ac:dyDescent="0.25">
      <c r="A896" s="1">
        <v>45491</v>
      </c>
      <c r="B896" s="2">
        <v>50794</v>
      </c>
      <c r="C896" s="3">
        <f>(VOO_data[[#This Row],[Último]]/B895)-1</f>
        <v>-7.5226166982551579E-3</v>
      </c>
    </row>
    <row r="897" spans="1:3" x14ac:dyDescent="0.25">
      <c r="A897" s="1">
        <v>45492</v>
      </c>
      <c r="B897" s="2">
        <v>50455</v>
      </c>
      <c r="C897" s="3">
        <f>(VOO_data[[#This Row],[Último]]/B896)-1</f>
        <v>-6.6740166161357584E-3</v>
      </c>
    </row>
    <row r="898" spans="1:3" x14ac:dyDescent="0.25">
      <c r="A898" s="1">
        <v>45495</v>
      </c>
      <c r="B898" s="2">
        <v>50979</v>
      </c>
      <c r="C898" s="3">
        <f>(VOO_data[[#This Row],[Último]]/B897)-1</f>
        <v>1.0385492022594311E-2</v>
      </c>
    </row>
    <row r="899" spans="1:3" x14ac:dyDescent="0.25">
      <c r="A899" s="1">
        <v>45496</v>
      </c>
      <c r="B899" s="2">
        <v>50894</v>
      </c>
      <c r="C899" s="3">
        <f>(VOO_data[[#This Row],[Último]]/B898)-1</f>
        <v>-1.6673532238764555E-3</v>
      </c>
    </row>
    <row r="900" spans="1:3" x14ac:dyDescent="0.25">
      <c r="A900" s="1">
        <v>45497</v>
      </c>
      <c r="B900" s="2">
        <v>49729</v>
      </c>
      <c r="C900" s="3">
        <f>(VOO_data[[#This Row],[Último]]/B899)-1</f>
        <v>-2.28907140330884E-2</v>
      </c>
    </row>
    <row r="901" spans="1:3" x14ac:dyDescent="0.25">
      <c r="A901" s="1">
        <v>45498</v>
      </c>
      <c r="B901" s="2">
        <v>49478</v>
      </c>
      <c r="C901" s="3">
        <f>(VOO_data[[#This Row],[Último]]/B900)-1</f>
        <v>-5.0473566731685793E-3</v>
      </c>
    </row>
    <row r="902" spans="1:3" x14ac:dyDescent="0.25">
      <c r="A902" s="1">
        <v>45499</v>
      </c>
      <c r="B902" s="2">
        <v>50033</v>
      </c>
      <c r="C902" s="3">
        <f>(VOO_data[[#This Row],[Último]]/B901)-1</f>
        <v>1.121710659282904E-2</v>
      </c>
    </row>
    <row r="903" spans="1:3" x14ac:dyDescent="0.25">
      <c r="A903" s="1">
        <v>45502</v>
      </c>
      <c r="B903" s="2">
        <v>50070</v>
      </c>
      <c r="C903" s="3">
        <f>(VOO_data[[#This Row],[Último]]/B902)-1</f>
        <v>7.3951192213139727E-4</v>
      </c>
    </row>
    <row r="904" spans="1:3" x14ac:dyDescent="0.25">
      <c r="A904" s="1">
        <v>45503</v>
      </c>
      <c r="B904" s="2">
        <v>49808</v>
      </c>
      <c r="C904" s="3">
        <f>(VOO_data[[#This Row],[Último]]/B903)-1</f>
        <v>-5.2326742560415695E-3</v>
      </c>
    </row>
    <row r="905" spans="1:3" x14ac:dyDescent="0.25">
      <c r="A905" s="1">
        <v>45504</v>
      </c>
      <c r="B905" s="2">
        <v>50593</v>
      </c>
      <c r="C905" s="3">
        <f>(VOO_data[[#This Row],[Último]]/B904)-1</f>
        <v>1.5760520398329536E-2</v>
      </c>
    </row>
    <row r="906" spans="1:3" x14ac:dyDescent="0.25">
      <c r="A906" s="1">
        <v>45505</v>
      </c>
      <c r="B906" s="2">
        <v>49903</v>
      </c>
      <c r="C906" s="3">
        <f>(VOO_data[[#This Row],[Último]]/B905)-1</f>
        <v>-1.3638250350839098E-2</v>
      </c>
    </row>
    <row r="907" spans="1:3" x14ac:dyDescent="0.25">
      <c r="A907" s="1">
        <v>45506</v>
      </c>
      <c r="B907" s="2">
        <v>48991</v>
      </c>
      <c r="C907" s="3">
        <f>(VOO_data[[#This Row],[Último]]/B906)-1</f>
        <v>-1.8275454381500134E-2</v>
      </c>
    </row>
    <row r="908" spans="1:3" x14ac:dyDescent="0.25">
      <c r="A908" s="1">
        <v>45509</v>
      </c>
      <c r="B908" s="2">
        <v>47520</v>
      </c>
      <c r="C908" s="3">
        <f>(VOO_data[[#This Row],[Último]]/B907)-1</f>
        <v>-3.0025923128737975E-2</v>
      </c>
    </row>
    <row r="909" spans="1:3" x14ac:dyDescent="0.25">
      <c r="A909" s="1">
        <v>45510</v>
      </c>
      <c r="B909" s="2">
        <v>47994</v>
      </c>
      <c r="C909" s="3">
        <f>(VOO_data[[#This Row],[Último]]/B908)-1</f>
        <v>9.9747474747475806E-3</v>
      </c>
    </row>
    <row r="910" spans="1:3" x14ac:dyDescent="0.25">
      <c r="A910" s="1">
        <v>45511</v>
      </c>
      <c r="B910" s="2">
        <v>47661</v>
      </c>
      <c r="C910" s="3">
        <f>(VOO_data[[#This Row],[Último]]/B909)-1</f>
        <v>-6.938367295912018E-3</v>
      </c>
    </row>
    <row r="911" spans="1:3" x14ac:dyDescent="0.25">
      <c r="A911" s="1">
        <v>45512</v>
      </c>
      <c r="B911" s="2">
        <v>48773</v>
      </c>
      <c r="C911" s="3">
        <f>(VOO_data[[#This Row],[Último]]/B910)-1</f>
        <v>2.3331444996957718E-2</v>
      </c>
    </row>
    <row r="912" spans="1:3" x14ac:dyDescent="0.25">
      <c r="A912" s="1">
        <v>45513</v>
      </c>
      <c r="B912" s="2">
        <v>48982</v>
      </c>
      <c r="C912" s="3">
        <f>(VOO_data[[#This Row],[Último]]/B911)-1</f>
        <v>4.2851577717180067E-3</v>
      </c>
    </row>
    <row r="913" spans="1:3" x14ac:dyDescent="0.25">
      <c r="A913" s="1">
        <v>45516</v>
      </c>
      <c r="B913" s="2">
        <v>49007</v>
      </c>
      <c r="C913" s="3">
        <f>(VOO_data[[#This Row],[Último]]/B912)-1</f>
        <v>5.1039157241428157E-4</v>
      </c>
    </row>
    <row r="914" spans="1:3" x14ac:dyDescent="0.25">
      <c r="A914" s="1">
        <v>45517</v>
      </c>
      <c r="B914" s="2">
        <v>49821</v>
      </c>
      <c r="C914" s="3">
        <f>(VOO_data[[#This Row],[Último]]/B913)-1</f>
        <v>1.66098720590937E-2</v>
      </c>
    </row>
    <row r="915" spans="1:3" x14ac:dyDescent="0.25">
      <c r="A915" s="1">
        <v>45518</v>
      </c>
      <c r="B915" s="2">
        <v>49980</v>
      </c>
      <c r="C915" s="3">
        <f>(VOO_data[[#This Row],[Último]]/B914)-1</f>
        <v>3.1914253025833172E-3</v>
      </c>
    </row>
    <row r="916" spans="1:3" x14ac:dyDescent="0.25">
      <c r="A916" s="1">
        <v>45519</v>
      </c>
      <c r="B916" s="2">
        <v>50838</v>
      </c>
      <c r="C916" s="3">
        <f>(VOO_data[[#This Row],[Último]]/B915)-1</f>
        <v>1.716686674669865E-2</v>
      </c>
    </row>
    <row r="917" spans="1:3" x14ac:dyDescent="0.25">
      <c r="A917" s="1">
        <v>45520</v>
      </c>
      <c r="B917" s="2">
        <v>50945</v>
      </c>
      <c r="C917" s="3">
        <f>(VOO_data[[#This Row],[Último]]/B916)-1</f>
        <v>2.1047248121484063E-3</v>
      </c>
    </row>
    <row r="918" spans="1:3" x14ac:dyDescent="0.25">
      <c r="A918" s="1">
        <v>45523</v>
      </c>
      <c r="B918" s="2">
        <v>51435</v>
      </c>
      <c r="C918" s="3">
        <f>(VOO_data[[#This Row],[Último]]/B917)-1</f>
        <v>9.6182157228383858E-3</v>
      </c>
    </row>
    <row r="919" spans="1:3" x14ac:dyDescent="0.25">
      <c r="A919" s="1">
        <v>45524</v>
      </c>
      <c r="B919" s="2">
        <v>51350</v>
      </c>
      <c r="C919" s="3">
        <f>(VOO_data[[#This Row],[Último]]/B918)-1</f>
        <v>-1.6525712063769626E-3</v>
      </c>
    </row>
    <row r="920" spans="1:3" x14ac:dyDescent="0.25">
      <c r="A920" s="1">
        <v>45525</v>
      </c>
      <c r="B920" s="2">
        <v>51530</v>
      </c>
      <c r="C920" s="3">
        <f>(VOO_data[[#This Row],[Último]]/B919)-1</f>
        <v>3.5053554040895829E-3</v>
      </c>
    </row>
    <row r="921" spans="1:3" x14ac:dyDescent="0.25">
      <c r="A921" s="1">
        <v>45526</v>
      </c>
      <c r="B921" s="2">
        <v>51113</v>
      </c>
      <c r="C921" s="3">
        <f>(VOO_data[[#This Row],[Último]]/B920)-1</f>
        <v>-8.0923733747331195E-3</v>
      </c>
    </row>
    <row r="922" spans="1:3" x14ac:dyDescent="0.25">
      <c r="A922" s="1">
        <v>45527</v>
      </c>
      <c r="B922" s="2">
        <v>51666</v>
      </c>
      <c r="C922" s="3">
        <f>(VOO_data[[#This Row],[Último]]/B921)-1</f>
        <v>1.0819165378670892E-2</v>
      </c>
    </row>
    <row r="923" spans="1:3" x14ac:dyDescent="0.25">
      <c r="A923" s="1">
        <v>45530</v>
      </c>
      <c r="B923" s="2">
        <v>51539</v>
      </c>
      <c r="C923" s="3">
        <f>(VOO_data[[#This Row],[Último]]/B922)-1</f>
        <v>-2.4580962334997958E-3</v>
      </c>
    </row>
    <row r="924" spans="1:3" x14ac:dyDescent="0.25">
      <c r="A924" s="1">
        <v>45531</v>
      </c>
      <c r="B924" s="2">
        <v>51608</v>
      </c>
      <c r="C924" s="3">
        <f>(VOO_data[[#This Row],[Último]]/B923)-1</f>
        <v>1.3387919827703154E-3</v>
      </c>
    </row>
    <row r="925" spans="1:3" x14ac:dyDescent="0.25">
      <c r="A925" s="1">
        <v>45532</v>
      </c>
      <c r="B925" s="2">
        <v>51313</v>
      </c>
      <c r="C925" s="3">
        <f>(VOO_data[[#This Row],[Último]]/B924)-1</f>
        <v>-5.7161680359634204E-3</v>
      </c>
    </row>
    <row r="926" spans="1:3" x14ac:dyDescent="0.25">
      <c r="A926" s="1">
        <v>45533</v>
      </c>
      <c r="B926" s="2">
        <v>51321</v>
      </c>
      <c r="C926" s="3">
        <f>(VOO_data[[#This Row],[Último]]/B925)-1</f>
        <v>1.5590591078273874E-4</v>
      </c>
    </row>
    <row r="927" spans="1:3" x14ac:dyDescent="0.25">
      <c r="A927" s="1">
        <v>45534</v>
      </c>
      <c r="B927" s="2">
        <v>51804</v>
      </c>
      <c r="C927" s="3">
        <f>(VOO_data[[#This Row],[Último]]/B926)-1</f>
        <v>9.4113520780967352E-3</v>
      </c>
    </row>
    <row r="928" spans="1:3" x14ac:dyDescent="0.25">
      <c r="A928" s="1">
        <v>45538</v>
      </c>
      <c r="B928" s="2">
        <v>50756</v>
      </c>
      <c r="C928" s="3">
        <f>(VOO_data[[#This Row],[Último]]/B927)-1</f>
        <v>-2.0230098061925772E-2</v>
      </c>
    </row>
    <row r="929" spans="1:3" x14ac:dyDescent="0.25">
      <c r="A929" s="1">
        <v>45539</v>
      </c>
      <c r="B929" s="2">
        <v>50630</v>
      </c>
      <c r="C929" s="3">
        <f>(VOO_data[[#This Row],[Último]]/B928)-1</f>
        <v>-2.4824651272755682E-3</v>
      </c>
    </row>
    <row r="930" spans="1:3" x14ac:dyDescent="0.25">
      <c r="A930" s="1">
        <v>45540</v>
      </c>
      <c r="B930" s="2">
        <v>50505</v>
      </c>
      <c r="C930" s="3">
        <f>(VOO_data[[#This Row],[Último]]/B929)-1</f>
        <v>-2.4688919612877447E-3</v>
      </c>
    </row>
    <row r="931" spans="1:3" x14ac:dyDescent="0.25">
      <c r="A931" s="1">
        <v>45541</v>
      </c>
      <c r="B931" s="2">
        <v>49664</v>
      </c>
      <c r="C931" s="3">
        <f>(VOO_data[[#This Row],[Último]]/B930)-1</f>
        <v>-1.6651816651816698E-2</v>
      </c>
    </row>
    <row r="932" spans="1:3" x14ac:dyDescent="0.25">
      <c r="A932" s="1">
        <v>45544</v>
      </c>
      <c r="B932" s="2">
        <v>50223</v>
      </c>
      <c r="C932" s="3">
        <f>(VOO_data[[#This Row],[Último]]/B931)-1</f>
        <v>1.1255637886598002E-2</v>
      </c>
    </row>
    <row r="933" spans="1:3" x14ac:dyDescent="0.25">
      <c r="A933" s="1">
        <v>45545</v>
      </c>
      <c r="B933" s="2">
        <v>50430</v>
      </c>
      <c r="C933" s="3">
        <f>(VOO_data[[#This Row],[Último]]/B932)-1</f>
        <v>4.1216175855682824E-3</v>
      </c>
    </row>
    <row r="934" spans="1:3" x14ac:dyDescent="0.25">
      <c r="A934" s="1">
        <v>45546</v>
      </c>
      <c r="B934" s="2">
        <v>50946</v>
      </c>
      <c r="C934" s="3">
        <f>(VOO_data[[#This Row],[Último]]/B933)-1</f>
        <v>1.0232004759072044E-2</v>
      </c>
    </row>
    <row r="935" spans="1:3" x14ac:dyDescent="0.25">
      <c r="A935" s="1">
        <v>45547</v>
      </c>
      <c r="B935" s="2">
        <v>51384</v>
      </c>
      <c r="C935" s="3">
        <f>(VOO_data[[#This Row],[Último]]/B934)-1</f>
        <v>8.597338358261597E-3</v>
      </c>
    </row>
    <row r="936" spans="1:3" x14ac:dyDescent="0.25">
      <c r="A936" s="1">
        <v>45548</v>
      </c>
      <c r="B936" s="2">
        <v>51657</v>
      </c>
      <c r="C936" s="3">
        <f>(VOO_data[[#This Row],[Último]]/B935)-1</f>
        <v>5.312937879495605E-3</v>
      </c>
    </row>
    <row r="937" spans="1:3" x14ac:dyDescent="0.25">
      <c r="A937" s="1">
        <v>45551</v>
      </c>
      <c r="B937" s="2">
        <v>51735</v>
      </c>
      <c r="C937" s="3">
        <f>(VOO_data[[#This Row],[Último]]/B936)-1</f>
        <v>1.5099599279866371E-3</v>
      </c>
    </row>
    <row r="938" spans="1:3" x14ac:dyDescent="0.25">
      <c r="A938" s="1">
        <v>45552</v>
      </c>
      <c r="B938" s="2">
        <v>51759</v>
      </c>
      <c r="C938" s="3">
        <f>(VOO_data[[#This Row],[Último]]/B937)-1</f>
        <v>4.6390258045803101E-4</v>
      </c>
    </row>
    <row r="939" spans="1:3" x14ac:dyDescent="0.25">
      <c r="A939" s="1">
        <v>45553</v>
      </c>
      <c r="B939" s="2">
        <v>51591</v>
      </c>
      <c r="C939" s="3">
        <f>(VOO_data[[#This Row],[Último]]/B938)-1</f>
        <v>-3.2458123224946567E-3</v>
      </c>
    </row>
    <row r="940" spans="1:3" x14ac:dyDescent="0.25">
      <c r="A940" s="1">
        <v>45554</v>
      </c>
      <c r="B940" s="2">
        <v>52491</v>
      </c>
      <c r="C940" s="3">
        <f>(VOO_data[[#This Row],[Último]]/B939)-1</f>
        <v>1.7444903180787286E-2</v>
      </c>
    </row>
    <row r="941" spans="1:3" x14ac:dyDescent="0.25">
      <c r="A941" s="1">
        <v>45555</v>
      </c>
      <c r="B941" s="2">
        <v>52388</v>
      </c>
      <c r="C941" s="3">
        <f>(VOO_data[[#This Row],[Último]]/B940)-1</f>
        <v>-1.9622411461012179E-3</v>
      </c>
    </row>
    <row r="942" spans="1:3" x14ac:dyDescent="0.25">
      <c r="A942" s="1">
        <v>45558</v>
      </c>
      <c r="B942" s="2">
        <v>52517</v>
      </c>
      <c r="C942" s="3">
        <f>(VOO_data[[#This Row],[Último]]/B941)-1</f>
        <v>2.4623959685423635E-3</v>
      </c>
    </row>
    <row r="943" spans="1:3" x14ac:dyDescent="0.25">
      <c r="A943" s="1">
        <v>45559</v>
      </c>
      <c r="B943" s="2">
        <v>52668</v>
      </c>
      <c r="C943" s="3">
        <f>(VOO_data[[#This Row],[Último]]/B942)-1</f>
        <v>2.8752594398004927E-3</v>
      </c>
    </row>
    <row r="944" spans="1:3" x14ac:dyDescent="0.25">
      <c r="A944" s="1">
        <v>45560</v>
      </c>
      <c r="B944" s="2">
        <v>52561</v>
      </c>
      <c r="C944" s="3">
        <f>(VOO_data[[#This Row],[Último]]/B943)-1</f>
        <v>-2.0315941368572732E-3</v>
      </c>
    </row>
    <row r="945" spans="1:3" x14ac:dyDescent="0.25">
      <c r="A945" s="1">
        <v>45561</v>
      </c>
      <c r="B945" s="2">
        <v>52770</v>
      </c>
      <c r="C945" s="3">
        <f>(VOO_data[[#This Row],[Último]]/B944)-1</f>
        <v>3.9763322615626873E-3</v>
      </c>
    </row>
    <row r="946" spans="1:3" x14ac:dyDescent="0.25">
      <c r="A946" s="1">
        <v>45562</v>
      </c>
      <c r="B946" s="2">
        <v>52538</v>
      </c>
      <c r="C946" s="3">
        <f>(VOO_data[[#This Row],[Último]]/B945)-1</f>
        <v>-4.3964373697176207E-3</v>
      </c>
    </row>
    <row r="947" spans="1:3" x14ac:dyDescent="0.25">
      <c r="A947" s="1">
        <v>45565</v>
      </c>
      <c r="B947" s="2">
        <v>52767</v>
      </c>
      <c r="C947" s="3">
        <f>(VOO_data[[#This Row],[Último]]/B946)-1</f>
        <v>4.358749857246158E-3</v>
      </c>
    </row>
    <row r="948" spans="1:3" x14ac:dyDescent="0.25">
      <c r="A948" s="1">
        <v>45566</v>
      </c>
      <c r="B948" s="2">
        <v>52274</v>
      </c>
      <c r="C948" s="3">
        <f>(VOO_data[[#This Row],[Último]]/B947)-1</f>
        <v>-9.3429605624727463E-3</v>
      </c>
    </row>
    <row r="949" spans="1:3" x14ac:dyDescent="0.25">
      <c r="A949" s="1">
        <v>45567</v>
      </c>
      <c r="B949" s="2">
        <v>52283</v>
      </c>
      <c r="C949" s="3">
        <f>(VOO_data[[#This Row],[Último]]/B948)-1</f>
        <v>1.7216972108502482E-4</v>
      </c>
    </row>
    <row r="950" spans="1:3" x14ac:dyDescent="0.25">
      <c r="A950" s="1">
        <v>45568</v>
      </c>
      <c r="B950" s="2">
        <v>52184</v>
      </c>
      <c r="C950" s="3">
        <f>(VOO_data[[#This Row],[Último]]/B949)-1</f>
        <v>-1.8935409215232735E-3</v>
      </c>
    </row>
    <row r="951" spans="1:3" x14ac:dyDescent="0.25">
      <c r="A951" s="1">
        <v>45569</v>
      </c>
      <c r="B951" s="2">
        <v>52665</v>
      </c>
      <c r="C951" s="3">
        <f>(VOO_data[[#This Row],[Último]]/B950)-1</f>
        <v>9.2173846389698166E-3</v>
      </c>
    </row>
    <row r="952" spans="1:3" x14ac:dyDescent="0.25">
      <c r="A952" s="1">
        <v>45572</v>
      </c>
      <c r="B952" s="2">
        <v>52191</v>
      </c>
      <c r="C952" s="3">
        <f>(VOO_data[[#This Row],[Último]]/B951)-1</f>
        <v>-9.0002848191398366E-3</v>
      </c>
    </row>
    <row r="953" spans="1:3" x14ac:dyDescent="0.25">
      <c r="A953" s="1">
        <v>45573</v>
      </c>
      <c r="B953" s="2">
        <v>52685</v>
      </c>
      <c r="C953" s="3">
        <f>(VOO_data[[#This Row],[Último]]/B952)-1</f>
        <v>9.4652334693721141E-3</v>
      </c>
    </row>
    <row r="954" spans="1:3" x14ac:dyDescent="0.25">
      <c r="A954" s="1">
        <v>45574</v>
      </c>
      <c r="B954" s="2">
        <v>53045</v>
      </c>
      <c r="C954" s="3">
        <f>(VOO_data[[#This Row],[Último]]/B953)-1</f>
        <v>6.8330644395937501E-3</v>
      </c>
    </row>
    <row r="955" spans="1:3" x14ac:dyDescent="0.25">
      <c r="A955" s="1">
        <v>45575</v>
      </c>
      <c r="B955" s="2">
        <v>52956</v>
      </c>
      <c r="C955" s="3">
        <f>(VOO_data[[#This Row],[Último]]/B954)-1</f>
        <v>-1.6778207182580607E-3</v>
      </c>
    </row>
    <row r="956" spans="1:3" x14ac:dyDescent="0.25">
      <c r="A956" s="1">
        <v>45576</v>
      </c>
      <c r="B956" s="2">
        <v>53271</v>
      </c>
      <c r="C956" s="3">
        <f>(VOO_data[[#This Row],[Último]]/B955)-1</f>
        <v>5.9483344663493476E-3</v>
      </c>
    </row>
    <row r="957" spans="1:3" x14ac:dyDescent="0.25">
      <c r="A957" s="1">
        <v>45579</v>
      </c>
      <c r="B957" s="2">
        <v>53707</v>
      </c>
      <c r="C957" s="3">
        <f>(VOO_data[[#This Row],[Último]]/B956)-1</f>
        <v>8.1845657111749848E-3</v>
      </c>
    </row>
    <row r="958" spans="1:3" x14ac:dyDescent="0.25">
      <c r="A958" s="1">
        <v>45580</v>
      </c>
      <c r="B958" s="2">
        <v>53298</v>
      </c>
      <c r="C958" s="3">
        <f>(VOO_data[[#This Row],[Último]]/B957)-1</f>
        <v>-7.6153946412944595E-3</v>
      </c>
    </row>
    <row r="959" spans="1:3" x14ac:dyDescent="0.25">
      <c r="A959" s="1">
        <v>45581</v>
      </c>
      <c r="B959" s="2">
        <v>53522</v>
      </c>
      <c r="C959" s="3">
        <f>(VOO_data[[#This Row],[Último]]/B958)-1</f>
        <v>4.2027843446283963E-3</v>
      </c>
    </row>
    <row r="960" spans="1:3" x14ac:dyDescent="0.25">
      <c r="A960" s="1">
        <v>45582</v>
      </c>
      <c r="B960" s="2">
        <v>53530</v>
      </c>
      <c r="C960" s="3">
        <f>(VOO_data[[#This Row],[Último]]/B959)-1</f>
        <v>1.4947124546904611E-4</v>
      </c>
    </row>
    <row r="961" spans="1:3" x14ac:dyDescent="0.25">
      <c r="A961" s="1">
        <v>45583</v>
      </c>
      <c r="B961" s="2">
        <v>53736</v>
      </c>
      <c r="C961" s="3">
        <f>(VOO_data[[#This Row],[Último]]/B960)-1</f>
        <v>3.8483093592378559E-3</v>
      </c>
    </row>
    <row r="962" spans="1:3" x14ac:dyDescent="0.25">
      <c r="A962" s="1">
        <v>45586</v>
      </c>
      <c r="B962" s="2">
        <v>53653</v>
      </c>
      <c r="C962" s="3">
        <f>(VOO_data[[#This Row],[Último]]/B961)-1</f>
        <v>-1.5445883578978359E-3</v>
      </c>
    </row>
    <row r="963" spans="1:3" x14ac:dyDescent="0.25">
      <c r="A963" s="1">
        <v>45587</v>
      </c>
      <c r="B963" s="2">
        <v>53616</v>
      </c>
      <c r="C963" s="3">
        <f>(VOO_data[[#This Row],[Último]]/B962)-1</f>
        <v>-6.8961661044120159E-4</v>
      </c>
    </row>
    <row r="964" spans="1:3" x14ac:dyDescent="0.25">
      <c r="A964" s="1">
        <v>45588</v>
      </c>
      <c r="B964" s="2">
        <v>53127</v>
      </c>
      <c r="C964" s="3">
        <f>(VOO_data[[#This Row],[Último]]/B963)-1</f>
        <v>-9.1204118173680016E-3</v>
      </c>
    </row>
    <row r="965" spans="1:3" x14ac:dyDescent="0.25">
      <c r="A965" s="1">
        <v>45589</v>
      </c>
      <c r="B965" s="2">
        <v>53247</v>
      </c>
      <c r="C965" s="3">
        <f>(VOO_data[[#This Row],[Último]]/B964)-1</f>
        <v>2.2587384945507161E-3</v>
      </c>
    </row>
    <row r="966" spans="1:3" x14ac:dyDescent="0.25">
      <c r="A966" s="1">
        <v>45590</v>
      </c>
      <c r="B966" s="2">
        <v>53226</v>
      </c>
      <c r="C966" s="3">
        <f>(VOO_data[[#This Row],[Último]]/B965)-1</f>
        <v>-3.9438841624883647E-4</v>
      </c>
    </row>
    <row r="967" spans="1:3" x14ac:dyDescent="0.25">
      <c r="A967" s="1">
        <v>45593</v>
      </c>
      <c r="B967" s="2">
        <v>53392</v>
      </c>
      <c r="C967" s="3">
        <f>(VOO_data[[#This Row],[Último]]/B966)-1</f>
        <v>3.1187765377822529E-3</v>
      </c>
    </row>
    <row r="968" spans="1:3" x14ac:dyDescent="0.25">
      <c r="A968" s="1">
        <v>45594</v>
      </c>
      <c r="B968" s="2">
        <v>53477</v>
      </c>
      <c r="C968" s="3">
        <f>(VOO_data[[#This Row],[Último]]/B967)-1</f>
        <v>1.5919988013184394E-3</v>
      </c>
    </row>
    <row r="969" spans="1:3" x14ac:dyDescent="0.25">
      <c r="A969" s="1">
        <v>45595</v>
      </c>
      <c r="B969" s="2">
        <v>53316</v>
      </c>
      <c r="C969" s="3">
        <f>(VOO_data[[#This Row],[Último]]/B968)-1</f>
        <v>-3.0106400882622397E-3</v>
      </c>
    </row>
    <row r="970" spans="1:3" x14ac:dyDescent="0.25">
      <c r="A970" s="1">
        <v>45596</v>
      </c>
      <c r="B970" s="2">
        <v>52267</v>
      </c>
      <c r="C970" s="3">
        <f>(VOO_data[[#This Row],[Último]]/B969)-1</f>
        <v>-1.9675144421937074E-2</v>
      </c>
    </row>
    <row r="971" spans="1:3" x14ac:dyDescent="0.25">
      <c r="A971" s="1">
        <v>45597</v>
      </c>
      <c r="B971" s="2">
        <v>52494</v>
      </c>
      <c r="C971" s="3">
        <f>(VOO_data[[#This Row],[Último]]/B970)-1</f>
        <v>4.3430845466547741E-3</v>
      </c>
    </row>
    <row r="972" spans="1:3" x14ac:dyDescent="0.25">
      <c r="A972" s="1">
        <v>45600</v>
      </c>
      <c r="B972" s="2">
        <v>52380</v>
      </c>
      <c r="C972" s="3">
        <f>(VOO_data[[#This Row],[Último]]/B971)-1</f>
        <v>-2.1716767630586276E-3</v>
      </c>
    </row>
    <row r="973" spans="1:3" x14ac:dyDescent="0.25">
      <c r="A973" s="1">
        <v>45601</v>
      </c>
      <c r="B973" s="2">
        <v>53010</v>
      </c>
      <c r="C973" s="3">
        <f>(VOO_data[[#This Row],[Último]]/B972)-1</f>
        <v>1.2027491408934665E-2</v>
      </c>
    </row>
    <row r="974" spans="1:3" x14ac:dyDescent="0.25">
      <c r="A974" s="1">
        <v>45602</v>
      </c>
      <c r="B974" s="2">
        <v>54330</v>
      </c>
      <c r="C974" s="3">
        <f>(VOO_data[[#This Row],[Último]]/B973)-1</f>
        <v>2.4900962082625933E-2</v>
      </c>
    </row>
    <row r="975" spans="1:3" x14ac:dyDescent="0.25">
      <c r="A975" s="1">
        <v>45603</v>
      </c>
      <c r="B975" s="2">
        <v>54753</v>
      </c>
      <c r="C975" s="3">
        <f>(VOO_data[[#This Row],[Último]]/B974)-1</f>
        <v>7.7857537272225663E-3</v>
      </c>
    </row>
    <row r="976" spans="1:3" x14ac:dyDescent="0.25">
      <c r="A976" s="1">
        <v>45604</v>
      </c>
      <c r="B976" s="2">
        <v>54995</v>
      </c>
      <c r="C976" s="3">
        <f>(VOO_data[[#This Row],[Último]]/B975)-1</f>
        <v>4.4198491406863827E-3</v>
      </c>
    </row>
    <row r="977" spans="1:3" x14ac:dyDescent="0.25">
      <c r="A977" s="1">
        <v>45607</v>
      </c>
      <c r="B977" s="2">
        <v>55040</v>
      </c>
      <c r="C977" s="3">
        <f>(VOO_data[[#This Row],[Último]]/B976)-1</f>
        <v>8.1825620510955765E-4</v>
      </c>
    </row>
    <row r="978" spans="1:3" x14ac:dyDescent="0.25">
      <c r="A978" s="1">
        <v>45608</v>
      </c>
      <c r="B978" s="2">
        <v>54875</v>
      </c>
      <c r="C978" s="3">
        <f>(VOO_data[[#This Row],[Último]]/B977)-1</f>
        <v>-2.997819767441845E-3</v>
      </c>
    </row>
    <row r="979" spans="1:3" x14ac:dyDescent="0.25">
      <c r="A979" s="1">
        <v>45609</v>
      </c>
      <c r="B979" s="2">
        <v>54903</v>
      </c>
      <c r="C979" s="3">
        <f>(VOO_data[[#This Row],[Último]]/B978)-1</f>
        <v>5.1025056947606728E-4</v>
      </c>
    </row>
    <row r="980" spans="1:3" x14ac:dyDescent="0.25">
      <c r="A980" s="1">
        <v>45610</v>
      </c>
      <c r="B980" s="2">
        <v>54554</v>
      </c>
      <c r="C980" s="3">
        <f>(VOO_data[[#This Row],[Último]]/B979)-1</f>
        <v>-6.3566653916907745E-3</v>
      </c>
    </row>
    <row r="981" spans="1:3" x14ac:dyDescent="0.25">
      <c r="A981" s="1">
        <v>45611</v>
      </c>
      <c r="B981" s="2">
        <v>53850</v>
      </c>
      <c r="C981" s="3">
        <f>(VOO_data[[#This Row],[Último]]/B980)-1</f>
        <v>-1.2904644938959597E-2</v>
      </c>
    </row>
    <row r="982" spans="1:3" x14ac:dyDescent="0.25">
      <c r="A982" s="1">
        <v>45614</v>
      </c>
      <c r="B982" s="2">
        <v>54073</v>
      </c>
      <c r="C982" s="3">
        <f>(VOO_data[[#This Row],[Último]]/B981)-1</f>
        <v>4.1411327762301831E-3</v>
      </c>
    </row>
    <row r="983" spans="1:3" x14ac:dyDescent="0.25">
      <c r="A983" s="1">
        <v>45615</v>
      </c>
      <c r="B983" s="2">
        <v>54270</v>
      </c>
      <c r="C983" s="3">
        <f>(VOO_data[[#This Row],[Último]]/B982)-1</f>
        <v>3.6432230503209428E-3</v>
      </c>
    </row>
    <row r="984" spans="1:3" x14ac:dyDescent="0.25">
      <c r="A984" s="1">
        <v>45616</v>
      </c>
      <c r="B984" s="2">
        <v>54290</v>
      </c>
      <c r="C984" s="3">
        <f>(VOO_data[[#This Row],[Último]]/B983)-1</f>
        <v>3.6852773171180964E-4</v>
      </c>
    </row>
    <row r="985" spans="1:3" x14ac:dyDescent="0.25">
      <c r="A985" s="1">
        <v>45617</v>
      </c>
      <c r="B985" s="2">
        <v>54564</v>
      </c>
      <c r="C985" s="3">
        <f>(VOO_data[[#This Row],[Último]]/B984)-1</f>
        <v>5.0469699760544717E-3</v>
      </c>
    </row>
    <row r="986" spans="1:3" x14ac:dyDescent="0.25">
      <c r="A986" s="1">
        <v>45618</v>
      </c>
      <c r="B986" s="2">
        <v>54747</v>
      </c>
      <c r="C986" s="3">
        <f>(VOO_data[[#This Row],[Último]]/B985)-1</f>
        <v>3.3538596877060733E-3</v>
      </c>
    </row>
    <row r="987" spans="1:3" x14ac:dyDescent="0.25">
      <c r="A987" s="1">
        <v>45621</v>
      </c>
      <c r="B987" s="2">
        <v>54923</v>
      </c>
      <c r="C987" s="3">
        <f>(VOO_data[[#This Row],[Último]]/B986)-1</f>
        <v>3.2147880249147054E-3</v>
      </c>
    </row>
    <row r="988" spans="1:3" x14ac:dyDescent="0.25">
      <c r="A988" s="1">
        <v>45622</v>
      </c>
      <c r="B988" s="2">
        <v>55231</v>
      </c>
      <c r="C988" s="3">
        <f>(VOO_data[[#This Row],[Último]]/B987)-1</f>
        <v>5.6078509913879415E-3</v>
      </c>
    </row>
    <row r="989" spans="1:3" x14ac:dyDescent="0.25">
      <c r="A989" s="1">
        <v>45623</v>
      </c>
      <c r="B989" s="2">
        <v>55055</v>
      </c>
      <c r="C989" s="3">
        <f>(VOO_data[[#This Row],[Último]]/B988)-1</f>
        <v>-3.186616211909965E-3</v>
      </c>
    </row>
    <row r="990" spans="1:3" x14ac:dyDescent="0.25">
      <c r="A990" s="1">
        <v>45625</v>
      </c>
      <c r="B990" s="2">
        <v>55345</v>
      </c>
      <c r="C990" s="3">
        <f>(VOO_data[[#This Row],[Último]]/B989)-1</f>
        <v>5.2674598129143213E-3</v>
      </c>
    </row>
    <row r="991" spans="1:3" x14ac:dyDescent="0.25">
      <c r="A991" s="1">
        <v>45628</v>
      </c>
      <c r="B991" s="2">
        <v>55501</v>
      </c>
      <c r="C991" s="3">
        <f>(VOO_data[[#This Row],[Último]]/B990)-1</f>
        <v>2.8186828078418102E-3</v>
      </c>
    </row>
    <row r="992" spans="1:3" x14ac:dyDescent="0.25">
      <c r="A992" s="1">
        <v>45629</v>
      </c>
      <c r="B992" s="2">
        <v>55514</v>
      </c>
      <c r="C992" s="3">
        <f>(VOO_data[[#This Row],[Último]]/B991)-1</f>
        <v>2.342300138735709E-4</v>
      </c>
    </row>
    <row r="993" spans="1:3" x14ac:dyDescent="0.25">
      <c r="A993" s="1">
        <v>45630</v>
      </c>
      <c r="B993" s="2">
        <v>55864</v>
      </c>
      <c r="C993" s="3">
        <f>(VOO_data[[#This Row],[Último]]/B992)-1</f>
        <v>6.3047159275138043E-3</v>
      </c>
    </row>
    <row r="994" spans="1:3" x14ac:dyDescent="0.25">
      <c r="A994" s="1">
        <v>45631</v>
      </c>
      <c r="B994" s="2">
        <v>55771</v>
      </c>
      <c r="C994" s="3">
        <f>(VOO_data[[#This Row],[Último]]/B993)-1</f>
        <v>-1.66475726765003E-3</v>
      </c>
    </row>
    <row r="995" spans="1:3" x14ac:dyDescent="0.25">
      <c r="A995" s="1">
        <v>45632</v>
      </c>
      <c r="B995" s="2">
        <v>55882</v>
      </c>
      <c r="C995" s="3">
        <f>(VOO_data[[#This Row],[Último]]/B994)-1</f>
        <v>1.9902816876153917E-3</v>
      </c>
    </row>
    <row r="996" spans="1:3" x14ac:dyDescent="0.25">
      <c r="A996" s="1">
        <v>45635</v>
      </c>
      <c r="B996" s="2">
        <v>55591</v>
      </c>
      <c r="C996" s="3">
        <f>(VOO_data[[#This Row],[Último]]/B995)-1</f>
        <v>-5.2074013099030481E-3</v>
      </c>
    </row>
    <row r="997" spans="1:3" x14ac:dyDescent="0.25">
      <c r="A997" s="1">
        <v>45636</v>
      </c>
      <c r="B997" s="2">
        <v>55433</v>
      </c>
      <c r="C997" s="3">
        <f>(VOO_data[[#This Row],[Último]]/B996)-1</f>
        <v>-2.8421866848949984E-3</v>
      </c>
    </row>
    <row r="998" spans="1:3" x14ac:dyDescent="0.25">
      <c r="A998" s="1">
        <v>45637</v>
      </c>
      <c r="B998" s="2">
        <v>55853</v>
      </c>
      <c r="C998" s="3">
        <f>(VOO_data[[#This Row],[Último]]/B997)-1</f>
        <v>7.5767142315950053E-3</v>
      </c>
    </row>
    <row r="999" spans="1:3" x14ac:dyDescent="0.25">
      <c r="A999" s="1">
        <v>45638</v>
      </c>
      <c r="B999" s="2">
        <v>55565</v>
      </c>
      <c r="C999" s="3">
        <f>(VOO_data[[#This Row],[Último]]/B998)-1</f>
        <v>-5.1563926736254428E-3</v>
      </c>
    </row>
    <row r="1000" spans="1:3" x14ac:dyDescent="0.25">
      <c r="A1000" s="1">
        <v>45639</v>
      </c>
      <c r="B1000" s="2">
        <v>55561</v>
      </c>
      <c r="C1000" s="3">
        <f>(VOO_data[[#This Row],[Último]]/B999)-1</f>
        <v>-7.1987762080394369E-5</v>
      </c>
    </row>
    <row r="1001" spans="1:3" x14ac:dyDescent="0.25">
      <c r="A1001" s="1">
        <v>45642</v>
      </c>
      <c r="B1001" s="2">
        <v>55779</v>
      </c>
      <c r="C1001" s="3">
        <f>(VOO_data[[#This Row],[Último]]/B1000)-1</f>
        <v>3.9236154856823191E-3</v>
      </c>
    </row>
    <row r="1002" spans="1:3" x14ac:dyDescent="0.25">
      <c r="A1002" s="1">
        <v>45643</v>
      </c>
      <c r="B1002" s="2">
        <v>55545</v>
      </c>
      <c r="C1002" s="3">
        <f>(VOO_data[[#This Row],[Último]]/B1001)-1</f>
        <v>-4.1951271984079774E-3</v>
      </c>
    </row>
    <row r="1003" spans="1:3" x14ac:dyDescent="0.25">
      <c r="A1003" s="1">
        <v>45644</v>
      </c>
      <c r="B1003" s="2">
        <v>53914</v>
      </c>
      <c r="C1003" s="3">
        <f>(VOO_data[[#This Row],[Último]]/B1002)-1</f>
        <v>-2.9363579080025182E-2</v>
      </c>
    </row>
    <row r="1004" spans="1:3" x14ac:dyDescent="0.25">
      <c r="A1004" s="1">
        <v>45645</v>
      </c>
      <c r="B1004" s="2">
        <v>53894</v>
      </c>
      <c r="C1004" s="3">
        <f>(VOO_data[[#This Row],[Último]]/B1003)-1</f>
        <v>-3.7096116036650084E-4</v>
      </c>
    </row>
    <row r="1005" spans="1:3" x14ac:dyDescent="0.25">
      <c r="A1005" s="1">
        <v>45646</v>
      </c>
      <c r="B1005" s="2">
        <v>54504</v>
      </c>
      <c r="C1005" s="3">
        <f>(VOO_data[[#This Row],[Último]]/B1004)-1</f>
        <v>1.1318514120310263E-2</v>
      </c>
    </row>
    <row r="1006" spans="1:3" x14ac:dyDescent="0.25">
      <c r="A1006" s="1">
        <v>45649</v>
      </c>
      <c r="B1006" s="2">
        <v>54719</v>
      </c>
      <c r="C1006" s="3">
        <f>(VOO_data[[#This Row],[Último]]/B1005)-1</f>
        <v>3.9446646117715645E-3</v>
      </c>
    </row>
    <row r="1007" spans="1:3" x14ac:dyDescent="0.25">
      <c r="A1007" s="1">
        <v>45650</v>
      </c>
      <c r="B1007" s="2">
        <v>55282</v>
      </c>
      <c r="C1007" s="3">
        <f>(VOO_data[[#This Row],[Último]]/B1006)-1</f>
        <v>1.0288930718763245E-2</v>
      </c>
    </row>
    <row r="1008" spans="1:3" x14ac:dyDescent="0.25">
      <c r="A1008" s="1">
        <v>45652</v>
      </c>
      <c r="B1008" s="2">
        <v>55281</v>
      </c>
      <c r="C1008" s="3">
        <f>(VOO_data[[#This Row],[Último]]/B1007)-1</f>
        <v>-1.8089070583537925E-5</v>
      </c>
    </row>
    <row r="1009" spans="1:3" x14ac:dyDescent="0.25">
      <c r="A1009" s="1">
        <v>45653</v>
      </c>
      <c r="B1009" s="2">
        <v>54708</v>
      </c>
      <c r="C1009" s="3">
        <f>(VOO_data[[#This Row],[Último]]/B1008)-1</f>
        <v>-1.0365224941661699E-2</v>
      </c>
    </row>
    <row r="1010" spans="1:3" x14ac:dyDescent="0.25">
      <c r="A1010" s="1">
        <v>45656</v>
      </c>
      <c r="B1010" s="2">
        <v>54099</v>
      </c>
      <c r="C1010" s="3">
        <f>(VOO_data[[#This Row],[Último]]/B1009)-1</f>
        <v>-1.1131827155077878E-2</v>
      </c>
    </row>
    <row r="1011" spans="1:3" x14ac:dyDescent="0.25">
      <c r="A1011" s="1">
        <v>45657</v>
      </c>
      <c r="B1011" s="2">
        <v>53881</v>
      </c>
      <c r="C1011" s="3">
        <f>(VOO_data[[#This Row],[Último]]/B1010)-1</f>
        <v>-4.0296493465683536E-3</v>
      </c>
    </row>
    <row r="1012" spans="1:3" x14ac:dyDescent="0.25">
      <c r="A1012" s="1">
        <v>45659</v>
      </c>
      <c r="B1012" s="2">
        <v>53746</v>
      </c>
      <c r="C1012" s="3">
        <f>(VOO_data[[#This Row],[Último]]/B1011)-1</f>
        <v>-2.5055214268480119E-3</v>
      </c>
    </row>
    <row r="1013" spans="1:3" x14ac:dyDescent="0.25">
      <c r="A1013" s="1">
        <v>45660</v>
      </c>
      <c r="B1013" s="2">
        <v>54440</v>
      </c>
      <c r="C1013" s="3">
        <f>(VOO_data[[#This Row],[Último]]/B1012)-1</f>
        <v>1.2912588843820849E-2</v>
      </c>
    </row>
    <row r="1014" spans="1:3" x14ac:dyDescent="0.25">
      <c r="A1014" s="1">
        <v>45663</v>
      </c>
      <c r="B1014" s="2">
        <v>54757</v>
      </c>
      <c r="C1014" s="3">
        <f>(VOO_data[[#This Row],[Último]]/B1013)-1</f>
        <v>5.8229243203526959E-3</v>
      </c>
    </row>
    <row r="1015" spans="1:3" x14ac:dyDescent="0.25">
      <c r="A1015" s="1">
        <v>45664</v>
      </c>
      <c r="B1015" s="2">
        <v>54141</v>
      </c>
      <c r="C1015" s="3">
        <f>(VOO_data[[#This Row],[Último]]/B1014)-1</f>
        <v>-1.1249703234289643E-2</v>
      </c>
    </row>
    <row r="1016" spans="1:3" x14ac:dyDescent="0.25">
      <c r="A1016" s="1">
        <v>45665</v>
      </c>
      <c r="B1016" s="2">
        <v>54214</v>
      </c>
      <c r="C1016" s="3">
        <f>(VOO_data[[#This Row],[Último]]/B1015)-1</f>
        <v>1.3483312092499311E-3</v>
      </c>
    </row>
    <row r="1017" spans="1:3" x14ac:dyDescent="0.25">
      <c r="A1017" s="1">
        <v>45667</v>
      </c>
      <c r="B1017" s="2">
        <v>53389</v>
      </c>
      <c r="C1017" s="3">
        <f>(VOO_data[[#This Row],[Último]]/B1016)-1</f>
        <v>-1.5217471501826063E-2</v>
      </c>
    </row>
    <row r="1018" spans="1:3" x14ac:dyDescent="0.25">
      <c r="A1018" s="1">
        <v>45670</v>
      </c>
      <c r="B1018" s="2">
        <v>53458</v>
      </c>
      <c r="C1018" s="3">
        <f>(VOO_data[[#This Row],[Último]]/B1017)-1</f>
        <v>1.2924010563972743E-3</v>
      </c>
    </row>
    <row r="1019" spans="1:3" x14ac:dyDescent="0.25">
      <c r="A1019" s="1">
        <v>45671</v>
      </c>
      <c r="B1019" s="2">
        <v>53526</v>
      </c>
      <c r="C1019" s="3">
        <f>(VOO_data[[#This Row],[Último]]/B1018)-1</f>
        <v>1.2720266377344025E-3</v>
      </c>
    </row>
    <row r="1020" spans="1:3" x14ac:dyDescent="0.25">
      <c r="A1020" s="1">
        <v>45672</v>
      </c>
      <c r="B1020" s="2">
        <v>54505</v>
      </c>
      <c r="C1020" s="3">
        <f>(VOO_data[[#This Row],[Último]]/B1019)-1</f>
        <v>1.8290176736539321E-2</v>
      </c>
    </row>
    <row r="1021" spans="1:3" x14ac:dyDescent="0.25">
      <c r="A1021" s="1">
        <v>45673</v>
      </c>
      <c r="B1021" s="2">
        <v>54424</v>
      </c>
      <c r="C1021" s="3">
        <f>(VOO_data[[#This Row],[Último]]/B1020)-1</f>
        <v>-1.4861021924593709E-3</v>
      </c>
    </row>
    <row r="1022" spans="1:3" x14ac:dyDescent="0.25">
      <c r="A1022" s="1">
        <v>45674</v>
      </c>
      <c r="B1022" s="2">
        <v>54946</v>
      </c>
      <c r="C1022" s="3">
        <f>(VOO_data[[#This Row],[Último]]/B1021)-1</f>
        <v>9.5913567543730593E-3</v>
      </c>
    </row>
    <row r="1023" spans="1:3" x14ac:dyDescent="0.25">
      <c r="A1023" s="1">
        <v>45678</v>
      </c>
      <c r="B1023" s="2">
        <v>55446</v>
      </c>
      <c r="C1023" s="3">
        <f>(VOO_data[[#This Row],[Último]]/B1022)-1</f>
        <v>9.0998434826921049E-3</v>
      </c>
    </row>
    <row r="1024" spans="1:3" x14ac:dyDescent="0.25">
      <c r="A1024" s="1">
        <v>45679</v>
      </c>
      <c r="B1024" s="2">
        <v>55761</v>
      </c>
      <c r="C1024" s="3">
        <f>(VOO_data[[#This Row],[Último]]/B1023)-1</f>
        <v>5.6812033329727285E-3</v>
      </c>
    </row>
    <row r="1025" spans="1:3" x14ac:dyDescent="0.25">
      <c r="A1025" s="1">
        <v>45680</v>
      </c>
      <c r="B1025" s="2">
        <v>56070</v>
      </c>
      <c r="C1025" s="3">
        <f>(VOO_data[[#This Row],[Último]]/B1024)-1</f>
        <v>5.5415075052456242E-3</v>
      </c>
    </row>
    <row r="1026" spans="1:3" x14ac:dyDescent="0.25">
      <c r="A1026" s="1">
        <v>45681</v>
      </c>
      <c r="B1026" s="2">
        <v>55901</v>
      </c>
      <c r="C1026" s="3">
        <f>(VOO_data[[#This Row],[Último]]/B1025)-1</f>
        <v>-3.014089530943509E-3</v>
      </c>
    </row>
    <row r="1027" spans="1:3" x14ac:dyDescent="0.25">
      <c r="A1027" s="1">
        <v>45684</v>
      </c>
      <c r="B1027" s="2">
        <v>55123</v>
      </c>
      <c r="C1027" s="3">
        <f>(VOO_data[[#This Row],[Último]]/B1026)-1</f>
        <v>-1.3917461226096162E-2</v>
      </c>
    </row>
    <row r="1028" spans="1:3" x14ac:dyDescent="0.25">
      <c r="A1028" s="1">
        <v>45685</v>
      </c>
      <c r="B1028" s="2">
        <v>55585</v>
      </c>
      <c r="C1028" s="3">
        <f>(VOO_data[[#This Row],[Último]]/B1027)-1</f>
        <v>8.3812564628196196E-3</v>
      </c>
    </row>
    <row r="1029" spans="1:3" x14ac:dyDescent="0.25">
      <c r="A1029" s="1">
        <v>45686</v>
      </c>
      <c r="B1029" s="2">
        <v>55341</v>
      </c>
      <c r="C1029" s="3">
        <f>(VOO_data[[#This Row],[Último]]/B1028)-1</f>
        <v>-4.3896734730592968E-3</v>
      </c>
    </row>
    <row r="1030" spans="1:3" x14ac:dyDescent="0.25">
      <c r="A1030" s="1">
        <v>45687</v>
      </c>
      <c r="B1030" s="2">
        <v>55630</v>
      </c>
      <c r="C1030" s="3">
        <f>(VOO_data[[#This Row],[Último]]/B1029)-1</f>
        <v>5.22216801286568E-3</v>
      </c>
    </row>
    <row r="1031" spans="1:3" x14ac:dyDescent="0.25">
      <c r="A1031" s="1">
        <v>45688</v>
      </c>
      <c r="B1031" s="2">
        <v>55333</v>
      </c>
      <c r="C1031" s="3">
        <f>(VOO_data[[#This Row],[Último]]/B1030)-1</f>
        <v>-5.3388459464317473E-3</v>
      </c>
    </row>
    <row r="1032" spans="1:3" x14ac:dyDescent="0.25">
      <c r="A1032" s="1">
        <v>45691</v>
      </c>
      <c r="B1032" s="2">
        <v>54970</v>
      </c>
      <c r="C1032" s="3">
        <f>(VOO_data[[#This Row],[Último]]/B1031)-1</f>
        <v>-6.5602804836173423E-3</v>
      </c>
    </row>
    <row r="1033" spans="1:3" x14ac:dyDescent="0.25">
      <c r="A1033" s="1">
        <v>45692</v>
      </c>
      <c r="B1033" s="2">
        <v>55335</v>
      </c>
      <c r="C1033" s="3">
        <f>(VOO_data[[#This Row],[Último]]/B1032)-1</f>
        <v>6.6399854466072661E-3</v>
      </c>
    </row>
    <row r="1034" spans="1:3" x14ac:dyDescent="0.25">
      <c r="A1034" s="1">
        <v>45693</v>
      </c>
      <c r="B1034" s="2">
        <v>55562</v>
      </c>
      <c r="C1034" s="3">
        <f>(VOO_data[[#This Row],[Último]]/B1033)-1</f>
        <v>4.102286075720718E-3</v>
      </c>
    </row>
    <row r="1035" spans="1:3" x14ac:dyDescent="0.25">
      <c r="A1035" s="1">
        <v>45694</v>
      </c>
      <c r="B1035" s="2">
        <v>55762</v>
      </c>
      <c r="C1035" s="3">
        <f>(VOO_data[[#This Row],[Último]]/B1034)-1</f>
        <v>3.5995824484360561E-3</v>
      </c>
    </row>
    <row r="1036" spans="1:3" x14ac:dyDescent="0.25">
      <c r="A1036" s="1">
        <v>45695</v>
      </c>
      <c r="B1036" s="2">
        <v>55220</v>
      </c>
      <c r="C1036" s="3">
        <f>(VOO_data[[#This Row],[Último]]/B1035)-1</f>
        <v>-9.7198809224919858E-3</v>
      </c>
    </row>
    <row r="1037" spans="1:3" x14ac:dyDescent="0.25">
      <c r="A1037" s="1">
        <v>45698</v>
      </c>
      <c r="B1037" s="2">
        <v>55615</v>
      </c>
      <c r="C1037" s="3">
        <f>(VOO_data[[#This Row],[Último]]/B1036)-1</f>
        <v>7.1532053603766688E-3</v>
      </c>
    </row>
    <row r="1038" spans="1:3" x14ac:dyDescent="0.25">
      <c r="A1038" s="1">
        <v>45699</v>
      </c>
      <c r="B1038" s="2">
        <v>55665</v>
      </c>
      <c r="C1038" s="3">
        <f>(VOO_data[[#This Row],[Último]]/B1037)-1</f>
        <v>8.9903802930857424E-4</v>
      </c>
    </row>
    <row r="1039" spans="1:3" x14ac:dyDescent="0.25">
      <c r="A1039" s="1">
        <v>45700</v>
      </c>
      <c r="B1039" s="2">
        <v>55481</v>
      </c>
      <c r="C1039" s="3">
        <f>(VOO_data[[#This Row],[Último]]/B1038)-1</f>
        <v>-3.3054881882691456E-3</v>
      </c>
    </row>
    <row r="1040" spans="1:3" x14ac:dyDescent="0.25">
      <c r="A1040" s="1">
        <v>45701</v>
      </c>
      <c r="B1040" s="2">
        <v>56067</v>
      </c>
      <c r="C1040" s="3">
        <f>(VOO_data[[#This Row],[Último]]/B1039)-1</f>
        <v>1.0562174438095928E-2</v>
      </c>
    </row>
    <row r="1041" spans="1:3" x14ac:dyDescent="0.25">
      <c r="A1041" s="1">
        <v>45702</v>
      </c>
      <c r="B1041" s="2">
        <v>56069</v>
      </c>
      <c r="C1041" s="3">
        <f>(VOO_data[[#This Row],[Último]]/B1040)-1</f>
        <v>3.5671607184317722E-5</v>
      </c>
    </row>
    <row r="1042" spans="1:3" x14ac:dyDescent="0.25">
      <c r="A1042" s="1">
        <v>45706</v>
      </c>
      <c r="B1042" s="2">
        <v>56231</v>
      </c>
      <c r="C1042" s="3">
        <f>(VOO_data[[#This Row],[Último]]/B1041)-1</f>
        <v>2.8892971160534575E-3</v>
      </c>
    </row>
    <row r="1043" spans="1:3" x14ac:dyDescent="0.25">
      <c r="A1043" s="1">
        <v>45707</v>
      </c>
      <c r="B1043" s="2">
        <v>56367</v>
      </c>
      <c r="C1043" s="3">
        <f>(VOO_data[[#This Row],[Último]]/B1042)-1</f>
        <v>2.4185947253294593E-3</v>
      </c>
    </row>
    <row r="1044" spans="1:3" x14ac:dyDescent="0.25">
      <c r="A1044" s="1">
        <v>45708</v>
      </c>
      <c r="B1044" s="2">
        <v>56130</v>
      </c>
      <c r="C1044" s="3">
        <f>(VOO_data[[#This Row],[Último]]/B1043)-1</f>
        <v>-4.2045877907286311E-3</v>
      </c>
    </row>
    <row r="1045" spans="1:3" x14ac:dyDescent="0.25">
      <c r="A1045" s="1">
        <v>45709</v>
      </c>
      <c r="B1045" s="2">
        <v>55175</v>
      </c>
      <c r="C1045" s="3">
        <f>(VOO_data[[#This Row],[Último]]/B1044)-1</f>
        <v>-1.7014074469980378E-2</v>
      </c>
    </row>
    <row r="1046" spans="1:3" x14ac:dyDescent="0.25">
      <c r="A1046" s="1">
        <v>45712</v>
      </c>
      <c r="B1046" s="2">
        <v>54914</v>
      </c>
      <c r="C1046" s="3">
        <f>(VOO_data[[#This Row],[Último]]/B1045)-1</f>
        <v>-4.7304032623470826E-3</v>
      </c>
    </row>
    <row r="1047" spans="1:3" x14ac:dyDescent="0.25">
      <c r="A1047" s="1">
        <v>45713</v>
      </c>
      <c r="B1047" s="2">
        <v>54641</v>
      </c>
      <c r="C1047" s="3">
        <f>(VOO_data[[#This Row],[Último]]/B1046)-1</f>
        <v>-4.9714098408419893E-3</v>
      </c>
    </row>
    <row r="1048" spans="1:3" x14ac:dyDescent="0.25">
      <c r="A1048" s="1">
        <v>45714</v>
      </c>
      <c r="B1048" s="2">
        <v>54675</v>
      </c>
      <c r="C1048" s="3">
        <f>(VOO_data[[#This Row],[Último]]/B1047)-1</f>
        <v>6.222433703628738E-4</v>
      </c>
    </row>
    <row r="1049" spans="1:3" x14ac:dyDescent="0.25">
      <c r="A1049" s="1">
        <v>45715</v>
      </c>
      <c r="B1049" s="2">
        <v>53797</v>
      </c>
      <c r="C1049" s="3">
        <f>(VOO_data[[#This Row],[Último]]/B1048)-1</f>
        <v>-1.6058527663465938E-2</v>
      </c>
    </row>
    <row r="1050" spans="1:3" x14ac:dyDescent="0.25">
      <c r="A1050" s="1">
        <v>45716</v>
      </c>
      <c r="B1050" s="2">
        <v>54633</v>
      </c>
      <c r="C1050" s="3">
        <f>(VOO_data[[#This Row],[Último]]/B1049)-1</f>
        <v>1.5539899994423401E-2</v>
      </c>
    </row>
    <row r="1051" spans="1:3" x14ac:dyDescent="0.25">
      <c r="A1051" s="1">
        <v>45719</v>
      </c>
      <c r="B1051" s="2">
        <v>53692</v>
      </c>
      <c r="C1051" s="3">
        <f>(VOO_data[[#This Row],[Último]]/B1050)-1</f>
        <v>-1.7224022111178239E-2</v>
      </c>
    </row>
    <row r="1052" spans="1:3" x14ac:dyDescent="0.25">
      <c r="A1052" s="1">
        <v>45720</v>
      </c>
      <c r="B1052" s="2">
        <v>53045</v>
      </c>
      <c r="C1052" s="3">
        <f>(VOO_data[[#This Row],[Último]]/B1051)-1</f>
        <v>-1.2050212322133658E-2</v>
      </c>
    </row>
    <row r="1053" spans="1:3" x14ac:dyDescent="0.25">
      <c r="A1053" s="1">
        <v>45721</v>
      </c>
      <c r="B1053" s="2">
        <v>53640</v>
      </c>
      <c r="C1053" s="3">
        <f>(VOO_data[[#This Row],[Último]]/B1052)-1</f>
        <v>1.1216891318691635E-2</v>
      </c>
    </row>
    <row r="1054" spans="1:3" x14ac:dyDescent="0.25">
      <c r="A1054" s="1">
        <v>45722</v>
      </c>
      <c r="B1054" s="2">
        <v>52667</v>
      </c>
      <c r="C1054" s="3">
        <f>(VOO_data[[#This Row],[Último]]/B1053)-1</f>
        <v>-1.8139448173005168E-2</v>
      </c>
    </row>
    <row r="1055" spans="1:3" x14ac:dyDescent="0.25">
      <c r="A1055" s="1">
        <v>45723</v>
      </c>
      <c r="B1055" s="2">
        <v>52951</v>
      </c>
      <c r="C1055" s="3">
        <f>(VOO_data[[#This Row],[Último]]/B1054)-1</f>
        <v>5.3923709343610682E-3</v>
      </c>
    </row>
    <row r="1056" spans="1:3" x14ac:dyDescent="0.25">
      <c r="A1056" s="1">
        <v>45726</v>
      </c>
      <c r="B1056" s="2">
        <v>51551</v>
      </c>
      <c r="C1056" s="3">
        <f>(VOO_data[[#This Row],[Último]]/B1055)-1</f>
        <v>-2.6439538441200394E-2</v>
      </c>
    </row>
    <row r="1057" spans="1:3" x14ac:dyDescent="0.25">
      <c r="A1057" s="1">
        <v>45727</v>
      </c>
      <c r="B1057" s="2">
        <v>51128</v>
      </c>
      <c r="C1057" s="3">
        <f>(VOO_data[[#This Row],[Último]]/B1056)-1</f>
        <v>-8.205466431301045E-3</v>
      </c>
    </row>
    <row r="1058" spans="1:3" x14ac:dyDescent="0.25">
      <c r="A1058" s="1">
        <v>45728</v>
      </c>
      <c r="B1058" s="2">
        <v>51376</v>
      </c>
      <c r="C1058" s="3">
        <f>(VOO_data[[#This Row],[Último]]/B1057)-1</f>
        <v>4.8505711156312525E-3</v>
      </c>
    </row>
    <row r="1059" spans="1:3" x14ac:dyDescent="0.25">
      <c r="A1059" s="1">
        <v>45729</v>
      </c>
      <c r="B1059" s="2">
        <v>50705</v>
      </c>
      <c r="C1059" s="3">
        <f>(VOO_data[[#This Row],[Último]]/B1058)-1</f>
        <v>-1.3060573030208689E-2</v>
      </c>
    </row>
    <row r="1060" spans="1:3" x14ac:dyDescent="0.25">
      <c r="A1060" s="1">
        <v>45730</v>
      </c>
      <c r="B1060" s="2">
        <v>51746</v>
      </c>
      <c r="C1060" s="3">
        <f>(VOO_data[[#This Row],[Último]]/B1059)-1</f>
        <v>2.053051967261621E-2</v>
      </c>
    </row>
    <row r="1061" spans="1:3" x14ac:dyDescent="0.25">
      <c r="A1061" s="1">
        <v>45733</v>
      </c>
      <c r="B1061" s="2">
        <v>52141</v>
      </c>
      <c r="C1061" s="3">
        <f>(VOO_data[[#This Row],[Último]]/B1060)-1</f>
        <v>7.6334402659141709E-3</v>
      </c>
    </row>
    <row r="1062" spans="1:3" x14ac:dyDescent="0.25">
      <c r="A1062" s="1">
        <v>45734</v>
      </c>
      <c r="B1062" s="2">
        <v>51591</v>
      </c>
      <c r="C1062" s="3">
        <f>(VOO_data[[#This Row],[Último]]/B1061)-1</f>
        <v>-1.0548320899100516E-2</v>
      </c>
    </row>
    <row r="1063" spans="1:3" x14ac:dyDescent="0.25">
      <c r="A1063" s="1">
        <v>45735</v>
      </c>
      <c r="B1063" s="2">
        <v>52133</v>
      </c>
      <c r="C1063" s="3">
        <f>(VOO_data[[#This Row],[Último]]/B1062)-1</f>
        <v>1.0505708359985322E-2</v>
      </c>
    </row>
    <row r="1064" spans="1:3" x14ac:dyDescent="0.25">
      <c r="A1064" s="1">
        <v>45736</v>
      </c>
      <c r="B1064" s="2">
        <v>52013</v>
      </c>
      <c r="C1064" s="3">
        <f>(VOO_data[[#This Row],[Último]]/B1063)-1</f>
        <v>-2.3018049987532097E-3</v>
      </c>
    </row>
    <row r="1065" spans="1:3" x14ac:dyDescent="0.25">
      <c r="A1065" s="1">
        <v>45737</v>
      </c>
      <c r="B1065" s="2">
        <v>52026</v>
      </c>
      <c r="C1065" s="3">
        <f>(VOO_data[[#This Row],[Último]]/B1064)-1</f>
        <v>2.4993751562107924E-4</v>
      </c>
    </row>
    <row r="1066" spans="1:3" x14ac:dyDescent="0.25">
      <c r="A1066" s="1">
        <v>45740</v>
      </c>
      <c r="B1066" s="2">
        <v>52939</v>
      </c>
      <c r="C1066" s="3">
        <f>(VOO_data[[#This Row],[Último]]/B1065)-1</f>
        <v>1.7548917848767998E-2</v>
      </c>
    </row>
    <row r="1067" spans="1:3" x14ac:dyDescent="0.25">
      <c r="A1067" s="1">
        <v>45741</v>
      </c>
      <c r="B1067" s="2">
        <v>53065</v>
      </c>
      <c r="C1067" s="3">
        <f>(VOO_data[[#This Row],[Último]]/B1066)-1</f>
        <v>2.3800978484671553E-3</v>
      </c>
    </row>
    <row r="1068" spans="1:3" x14ac:dyDescent="0.25">
      <c r="A1068" s="1">
        <v>45742</v>
      </c>
      <c r="B1068" s="2">
        <v>52446</v>
      </c>
      <c r="C1068" s="3">
        <f>(VOO_data[[#This Row],[Último]]/B1067)-1</f>
        <v>-1.1664939225478177E-2</v>
      </c>
    </row>
    <row r="1069" spans="1:3" x14ac:dyDescent="0.25">
      <c r="A1069" s="1">
        <v>45743</v>
      </c>
      <c r="B1069" s="2">
        <v>52121</v>
      </c>
      <c r="C1069" s="3">
        <f>(VOO_data[[#This Row],[Último]]/B1068)-1</f>
        <v>-6.1968500934294068E-3</v>
      </c>
    </row>
    <row r="1070" spans="1:3" x14ac:dyDescent="0.25">
      <c r="A1070" s="1">
        <v>45744</v>
      </c>
      <c r="B1070" s="2">
        <v>51080</v>
      </c>
      <c r="C1070" s="3">
        <f>(VOO_data[[#This Row],[Último]]/B1069)-1</f>
        <v>-1.9972755703075551E-2</v>
      </c>
    </row>
    <row r="1071" spans="1:3" x14ac:dyDescent="0.25">
      <c r="A1071" s="1">
        <v>45747</v>
      </c>
      <c r="B1071" s="2">
        <v>51391</v>
      </c>
      <c r="C1071" s="3">
        <f>(VOO_data[[#This Row],[Último]]/B1070)-1</f>
        <v>6.0884886452623466E-3</v>
      </c>
    </row>
    <row r="1072" spans="1:3" x14ac:dyDescent="0.25">
      <c r="A1072" s="1">
        <v>45748</v>
      </c>
      <c r="B1072" s="2">
        <v>51580</v>
      </c>
      <c r="C1072" s="3">
        <f>(VOO_data[[#This Row],[Último]]/B1071)-1</f>
        <v>3.6776867544900949E-3</v>
      </c>
    </row>
    <row r="1073" spans="1:3" x14ac:dyDescent="0.25">
      <c r="A1073" s="1">
        <v>45749</v>
      </c>
      <c r="B1073" s="2">
        <v>51891</v>
      </c>
      <c r="C1073" s="3">
        <f>(VOO_data[[#This Row],[Último]]/B1072)-1</f>
        <v>6.0294687863513552E-3</v>
      </c>
    </row>
    <row r="1074" spans="1:3" x14ac:dyDescent="0.25">
      <c r="A1074" s="1">
        <v>45750</v>
      </c>
      <c r="B1074" s="2">
        <v>49416</v>
      </c>
      <c r="C1074" s="3">
        <f>(VOO_data[[#This Row],[Último]]/B1073)-1</f>
        <v>-4.769613227727354E-2</v>
      </c>
    </row>
    <row r="1075" spans="1:3" x14ac:dyDescent="0.25">
      <c r="A1075" s="1">
        <v>45751</v>
      </c>
      <c r="B1075" s="2">
        <v>46552</v>
      </c>
      <c r="C1075" s="3">
        <f>(VOO_data[[#This Row],[Último]]/B1074)-1</f>
        <v>-5.7956937024445487E-2</v>
      </c>
    </row>
    <row r="1076" spans="1:3" x14ac:dyDescent="0.25">
      <c r="A1076" s="1">
        <v>45754</v>
      </c>
      <c r="B1076" s="2">
        <v>46356</v>
      </c>
      <c r="C1076" s="3">
        <f>(VOO_data[[#This Row],[Último]]/B1075)-1</f>
        <v>-4.2103454201752877E-3</v>
      </c>
    </row>
    <row r="1077" spans="1:3" x14ac:dyDescent="0.25">
      <c r="A1077" s="1">
        <v>45755</v>
      </c>
      <c r="B1077" s="2">
        <v>45674</v>
      </c>
      <c r="C1077" s="3">
        <f>(VOO_data[[#This Row],[Último]]/B1076)-1</f>
        <v>-1.4712227111916443E-2</v>
      </c>
    </row>
    <row r="1078" spans="1:3" x14ac:dyDescent="0.25">
      <c r="A1078" s="1">
        <v>45756</v>
      </c>
      <c r="B1078" s="2">
        <v>49910</v>
      </c>
      <c r="C1078" s="3">
        <f>(VOO_data[[#This Row],[Último]]/B1077)-1</f>
        <v>9.2744230853439635E-2</v>
      </c>
    </row>
    <row r="1079" spans="1:3" x14ac:dyDescent="0.25">
      <c r="A1079" s="1">
        <v>45757</v>
      </c>
      <c r="B1079" s="2">
        <v>48206</v>
      </c>
      <c r="C1079" s="3">
        <f>(VOO_data[[#This Row],[Último]]/B1078)-1</f>
        <v>-3.4141454618312972E-2</v>
      </c>
    </row>
    <row r="1080" spans="1:3" x14ac:dyDescent="0.25">
      <c r="A1080" s="1">
        <v>45758</v>
      </c>
      <c r="B1080" s="2">
        <v>49055</v>
      </c>
      <c r="C1080" s="3">
        <f>(VOO_data[[#This Row],[Último]]/B1079)-1</f>
        <v>1.7611915529187172E-2</v>
      </c>
    </row>
    <row r="1081" spans="1:3" x14ac:dyDescent="0.25">
      <c r="A1081" s="1">
        <v>45761</v>
      </c>
      <c r="B1081" s="2">
        <v>49548</v>
      </c>
      <c r="C1081" s="3">
        <f>(VOO_data[[#This Row],[Último]]/B1080)-1</f>
        <v>1.004994394047487E-2</v>
      </c>
    </row>
    <row r="1082" spans="1:3" x14ac:dyDescent="0.25">
      <c r="A1082" s="1">
        <v>45762</v>
      </c>
      <c r="B1082" s="2">
        <v>49409</v>
      </c>
      <c r="C1082" s="3">
        <f>(VOO_data[[#This Row],[Último]]/B1081)-1</f>
        <v>-2.8053604585452918E-3</v>
      </c>
    </row>
    <row r="1083" spans="1:3" x14ac:dyDescent="0.25">
      <c r="A1083" s="1">
        <v>45763</v>
      </c>
      <c r="B1083" s="2">
        <v>48323</v>
      </c>
      <c r="C1083" s="3">
        <f>(VOO_data[[#This Row],[Último]]/B1082)-1</f>
        <v>-2.1979801250784248E-2</v>
      </c>
    </row>
    <row r="1084" spans="1:3" x14ac:dyDescent="0.25">
      <c r="A1084" s="1">
        <v>45764</v>
      </c>
      <c r="B1084" s="2">
        <v>48390</v>
      </c>
      <c r="C1084" s="3">
        <f>(VOO_data[[#This Row],[Último]]/B1083)-1</f>
        <v>1.3865033213997791E-3</v>
      </c>
    </row>
    <row r="1085" spans="1:3" x14ac:dyDescent="0.25">
      <c r="A1085" s="1">
        <v>45768</v>
      </c>
      <c r="B1085" s="2">
        <v>47237</v>
      </c>
      <c r="C1085" s="3">
        <f>(VOO_data[[#This Row],[Último]]/B1084)-1</f>
        <v>-2.3827237032444715E-2</v>
      </c>
    </row>
    <row r="1086" spans="1:3" x14ac:dyDescent="0.25">
      <c r="A1086" s="1">
        <v>45769</v>
      </c>
      <c r="B1086" s="2">
        <v>48429</v>
      </c>
      <c r="C1086" s="3">
        <f>(VOO_data[[#This Row],[Último]]/B1085)-1</f>
        <v>2.5234456040815534E-2</v>
      </c>
    </row>
    <row r="1087" spans="1:3" x14ac:dyDescent="0.25">
      <c r="A1087" s="1">
        <v>45770</v>
      </c>
      <c r="B1087" s="2">
        <v>49207</v>
      </c>
      <c r="C1087" s="3">
        <f>(VOO_data[[#This Row],[Último]]/B1086)-1</f>
        <v>1.606475458919232E-2</v>
      </c>
    </row>
    <row r="1088" spans="1:3" x14ac:dyDescent="0.25">
      <c r="A1088" s="1">
        <v>45771</v>
      </c>
      <c r="B1088" s="2">
        <v>50241</v>
      </c>
      <c r="C1088" s="3">
        <f>(VOO_data[[#This Row],[Último]]/B1087)-1</f>
        <v>2.1013270469648626E-2</v>
      </c>
    </row>
    <row r="1089" spans="1:3" x14ac:dyDescent="0.25">
      <c r="A1089" s="1">
        <v>45772</v>
      </c>
      <c r="B1089" s="2">
        <v>50611</v>
      </c>
      <c r="C1089" s="3">
        <f>(VOO_data[[#This Row],[Último]]/B1088)-1</f>
        <v>7.3645030950817425E-3</v>
      </c>
    </row>
    <row r="1090" spans="1:3" x14ac:dyDescent="0.25">
      <c r="A1090" s="1">
        <v>45775</v>
      </c>
      <c r="B1090" s="2">
        <v>50642</v>
      </c>
      <c r="C1090" s="3">
        <f>(VOO_data[[#This Row],[Último]]/B1089)-1</f>
        <v>6.1251506589465876E-4</v>
      </c>
    </row>
    <row r="1091" spans="1:3" x14ac:dyDescent="0.25">
      <c r="A1091" s="1">
        <v>45776</v>
      </c>
      <c r="B1091" s="2">
        <v>50949</v>
      </c>
      <c r="C1091" s="3">
        <f>(VOO_data[[#This Row],[Último]]/B1090)-1</f>
        <v>6.0621618419494094E-3</v>
      </c>
    </row>
    <row r="1092" spans="1:3" x14ac:dyDescent="0.25">
      <c r="A1092" s="1">
        <v>45777</v>
      </c>
      <c r="B1092" s="2">
        <v>50974</v>
      </c>
      <c r="C1092" s="3">
        <f>(VOO_data[[#This Row],[Último]]/B1091)-1</f>
        <v>4.9068676519659071E-4</v>
      </c>
    </row>
    <row r="1093" spans="1:3" x14ac:dyDescent="0.25">
      <c r="A1093" s="1">
        <v>45778</v>
      </c>
      <c r="B1093" s="2">
        <v>51335</v>
      </c>
      <c r="C1093" s="3">
        <f>(VOO_data[[#This Row],[Último]]/B1092)-1</f>
        <v>7.0820418252441897E-3</v>
      </c>
    </row>
    <row r="1094" spans="1:3" x14ac:dyDescent="0.25">
      <c r="A1094" s="1">
        <v>45779</v>
      </c>
      <c r="B1094" s="2">
        <v>52071</v>
      </c>
      <c r="C1094" s="3">
        <f>(VOO_data[[#This Row],[Último]]/B1093)-1</f>
        <v>1.4337196844258271E-2</v>
      </c>
    </row>
    <row r="1095" spans="1:3" x14ac:dyDescent="0.25">
      <c r="A1095" s="1">
        <v>45782</v>
      </c>
      <c r="B1095" s="2">
        <v>51799</v>
      </c>
      <c r="C1095" s="3">
        <f>(VOO_data[[#This Row],[Último]]/B1094)-1</f>
        <v>-5.2236369572314922E-3</v>
      </c>
    </row>
    <row r="1096" spans="1:3" x14ac:dyDescent="0.25">
      <c r="A1096" s="1">
        <v>45783</v>
      </c>
      <c r="B1096" s="2">
        <v>51358</v>
      </c>
      <c r="C1096" s="3">
        <f>(VOO_data[[#This Row],[Último]]/B1095)-1</f>
        <v>-8.5136778702291638E-3</v>
      </c>
    </row>
    <row r="1097" spans="1:3" x14ac:dyDescent="0.25">
      <c r="A1097" s="1">
        <v>45784</v>
      </c>
      <c r="B1097" s="2">
        <v>51590</v>
      </c>
      <c r="C1097" s="3">
        <f>(VOO_data[[#This Row],[Último]]/B1096)-1</f>
        <v>4.5173098640913789E-3</v>
      </c>
    </row>
    <row r="1098" spans="1:3" x14ac:dyDescent="0.25">
      <c r="A1098" s="1">
        <v>45785</v>
      </c>
      <c r="B1098" s="2">
        <v>51934</v>
      </c>
      <c r="C1098" s="3">
        <f>(VOO_data[[#This Row],[Último]]/B1097)-1</f>
        <v>6.6679589067648593E-3</v>
      </c>
    </row>
    <row r="1099" spans="1:3" x14ac:dyDescent="0.25">
      <c r="A1099" s="1">
        <v>45786</v>
      </c>
      <c r="B1099" s="2">
        <v>51865</v>
      </c>
      <c r="C1099" s="3">
        <f>(VOO_data[[#This Row],[Último]]/B1098)-1</f>
        <v>-1.3286093888397188E-3</v>
      </c>
    </row>
    <row r="1100" spans="1:3" x14ac:dyDescent="0.25">
      <c r="A1100" s="1">
        <v>45789</v>
      </c>
      <c r="B1100" s="2">
        <v>53592</v>
      </c>
      <c r="C1100" s="3">
        <f>(VOO_data[[#This Row],[Último]]/B1099)-1</f>
        <v>3.3297985153764476E-2</v>
      </c>
    </row>
    <row r="1101" spans="1:3" x14ac:dyDescent="0.25">
      <c r="A1101" s="1">
        <v>45790</v>
      </c>
      <c r="B1101" s="2">
        <v>53944</v>
      </c>
      <c r="C1101" s="3">
        <f>(VOO_data[[#This Row],[Último]]/B1100)-1</f>
        <v>6.5681444991789739E-3</v>
      </c>
    </row>
    <row r="1102" spans="1:3" x14ac:dyDescent="0.25">
      <c r="A1102" s="1">
        <v>45791</v>
      </c>
      <c r="B1102" s="2">
        <v>54011</v>
      </c>
      <c r="C1102" s="3">
        <f>(VOO_data[[#This Row],[Último]]/B1101)-1</f>
        <v>1.2420287705769972E-3</v>
      </c>
    </row>
    <row r="1103" spans="1:3" x14ac:dyDescent="0.25">
      <c r="A1103" s="1">
        <v>45792</v>
      </c>
      <c r="B1103" s="2">
        <v>54276</v>
      </c>
      <c r="C1103" s="3">
        <f>(VOO_data[[#This Row],[Último]]/B1102)-1</f>
        <v>4.9064079539353767E-3</v>
      </c>
    </row>
    <row r="1104" spans="1:3" x14ac:dyDescent="0.25">
      <c r="A1104" s="1">
        <v>45793</v>
      </c>
      <c r="B1104" s="2">
        <v>54626</v>
      </c>
      <c r="C1104" s="3">
        <f>(VOO_data[[#This Row],[Último]]/B1103)-1</f>
        <v>6.4485223671604253E-3</v>
      </c>
    </row>
    <row r="1105" spans="1:3" x14ac:dyDescent="0.25">
      <c r="A1105" s="1">
        <v>45796</v>
      </c>
      <c r="B1105" s="2">
        <v>54682</v>
      </c>
      <c r="C1105" s="3">
        <f>(VOO_data[[#This Row],[Último]]/B1104)-1</f>
        <v>1.0251528576135094E-3</v>
      </c>
    </row>
    <row r="1106" spans="1:3" x14ac:dyDescent="0.25">
      <c r="A1106" s="1">
        <v>45797</v>
      </c>
      <c r="B1106" s="2">
        <v>54488</v>
      </c>
      <c r="C1106" s="3">
        <f>(VOO_data[[#This Row],[Último]]/B1105)-1</f>
        <v>-3.5477853772721835E-3</v>
      </c>
    </row>
    <row r="1107" spans="1:3" x14ac:dyDescent="0.25">
      <c r="A1107" s="1">
        <v>45798</v>
      </c>
      <c r="B1107" s="2">
        <v>53577</v>
      </c>
      <c r="C1107" s="3">
        <f>(VOO_data[[#This Row],[Último]]/B1106)-1</f>
        <v>-1.6719277639113184E-2</v>
      </c>
    </row>
    <row r="1108" spans="1:3" x14ac:dyDescent="0.25">
      <c r="A1108" s="1">
        <v>45799</v>
      </c>
      <c r="B1108" s="2">
        <v>53602</v>
      </c>
      <c r="C1108" s="3">
        <f>(VOO_data[[#This Row],[Último]]/B1107)-1</f>
        <v>4.6661813838033694E-4</v>
      </c>
    </row>
    <row r="1109" spans="1:3" x14ac:dyDescent="0.25">
      <c r="A1109" s="1">
        <v>45800</v>
      </c>
      <c r="B1109" s="2">
        <v>53240</v>
      </c>
      <c r="C1109" s="3">
        <f>(VOO_data[[#This Row],[Último]]/B1108)-1</f>
        <v>-6.7534793477855848E-3</v>
      </c>
    </row>
    <row r="1110" spans="1:3" x14ac:dyDescent="0.25">
      <c r="A1110" s="1">
        <v>45804</v>
      </c>
      <c r="B1110" s="2">
        <v>54334</v>
      </c>
      <c r="C1110" s="3">
        <f>(VOO_data[[#This Row],[Último]]/B1109)-1</f>
        <v>2.0548459804658137E-2</v>
      </c>
    </row>
    <row r="1111" spans="1:3" x14ac:dyDescent="0.25">
      <c r="A1111" s="1">
        <v>45805</v>
      </c>
      <c r="B1111" s="2">
        <v>54024</v>
      </c>
      <c r="C1111" s="3">
        <f>(VOO_data[[#This Row],[Último]]/B1110)-1</f>
        <v>-5.7054514668531953E-3</v>
      </c>
    </row>
    <row r="1112" spans="1:3" x14ac:dyDescent="0.25">
      <c r="A1112" s="1">
        <v>45806</v>
      </c>
      <c r="B1112" s="2">
        <v>54232</v>
      </c>
      <c r="C1112" s="3">
        <f>(VOO_data[[#This Row],[Último]]/B1111)-1</f>
        <v>3.8501406782169845E-3</v>
      </c>
    </row>
    <row r="1113" spans="1:3" x14ac:dyDescent="0.25">
      <c r="A1113" s="1">
        <v>45807</v>
      </c>
      <c r="B1113" s="2">
        <v>54176</v>
      </c>
      <c r="C1113" s="3">
        <f>(VOO_data[[#This Row],[Último]]/B1112)-1</f>
        <v>-1.0326006785661423E-3</v>
      </c>
    </row>
    <row r="1114" spans="1:3" x14ac:dyDescent="0.25">
      <c r="A1114" s="1">
        <v>45810</v>
      </c>
      <c r="B1114" s="2">
        <v>54491</v>
      </c>
      <c r="C1114" s="3">
        <f>(VOO_data[[#This Row],[Último]]/B1113)-1</f>
        <v>5.8143827525103386E-3</v>
      </c>
    </row>
    <row r="1115" spans="1:3" x14ac:dyDescent="0.25">
      <c r="A1115" s="1">
        <v>45811</v>
      </c>
      <c r="B1115" s="2">
        <v>54800</v>
      </c>
      <c r="C1115" s="3">
        <f>(VOO_data[[#This Row],[Último]]/B1114)-1</f>
        <v>5.6706612101080633E-3</v>
      </c>
    </row>
    <row r="1116" spans="1:3" x14ac:dyDescent="0.25">
      <c r="A1116" s="1">
        <v>45812</v>
      </c>
      <c r="B1116" s="2">
        <v>54765</v>
      </c>
      <c r="C1116" s="3">
        <f>(VOO_data[[#This Row],[Último]]/B1115)-1</f>
        <v>-6.3868613138684527E-4</v>
      </c>
    </row>
    <row r="1117" spans="1:3" x14ac:dyDescent="0.25">
      <c r="A1117" s="1">
        <v>45813</v>
      </c>
      <c r="B1117" s="2">
        <v>54509</v>
      </c>
      <c r="C1117" s="3">
        <f>(VOO_data[[#This Row],[Último]]/B1116)-1</f>
        <v>-4.6745183967862314E-3</v>
      </c>
    </row>
    <row r="1118" spans="1:3" x14ac:dyDescent="0.25">
      <c r="A1118" s="1">
        <v>45814</v>
      </c>
      <c r="B1118" s="2">
        <v>55066</v>
      </c>
      <c r="C1118" s="3">
        <f>(VOO_data[[#This Row],[Último]]/B1117)-1</f>
        <v>1.0218496028178814E-2</v>
      </c>
    </row>
    <row r="1119" spans="1:3" x14ac:dyDescent="0.25">
      <c r="A1119" s="1">
        <v>45817</v>
      </c>
      <c r="B1119" s="2">
        <v>55125</v>
      </c>
      <c r="C1119" s="3">
        <f>(VOO_data[[#This Row],[Último]]/B1118)-1</f>
        <v>1.0714415428758617E-3</v>
      </c>
    </row>
    <row r="1120" spans="1:3" x14ac:dyDescent="0.25">
      <c r="A1120" s="1">
        <v>45818</v>
      </c>
      <c r="B1120" s="2">
        <v>55439</v>
      </c>
      <c r="C1120" s="3">
        <f>(VOO_data[[#This Row],[Último]]/B1119)-1</f>
        <v>5.6961451247166117E-3</v>
      </c>
    </row>
    <row r="1121" spans="1:3" x14ac:dyDescent="0.25">
      <c r="A1121" s="1">
        <v>45819</v>
      </c>
      <c r="B1121" s="2">
        <v>55286</v>
      </c>
      <c r="C1121" s="3">
        <f>(VOO_data[[#This Row],[Último]]/B1120)-1</f>
        <v>-2.7597900395028852E-3</v>
      </c>
    </row>
    <row r="1122" spans="1:3" x14ac:dyDescent="0.25">
      <c r="A1122" s="1">
        <v>45820</v>
      </c>
      <c r="B1122" s="2">
        <v>55495</v>
      </c>
      <c r="C1122" s="3">
        <f>(VOO_data[[#This Row],[Último]]/B1121)-1</f>
        <v>3.7803422204536474E-3</v>
      </c>
    </row>
    <row r="1123" spans="1:3" x14ac:dyDescent="0.25">
      <c r="A1123" s="1">
        <v>45821</v>
      </c>
      <c r="B1123" s="2">
        <v>54877</v>
      </c>
      <c r="C1123" s="3">
        <f>(VOO_data[[#This Row],[Último]]/B1122)-1</f>
        <v>-1.113613839084604E-2</v>
      </c>
    </row>
    <row r="1124" spans="1:3" x14ac:dyDescent="0.25">
      <c r="A1124" s="1">
        <v>45824</v>
      </c>
      <c r="B1124" s="2">
        <v>55407</v>
      </c>
      <c r="C1124" s="3">
        <f>(VOO_data[[#This Row],[Último]]/B1123)-1</f>
        <v>9.6579623521693136E-3</v>
      </c>
    </row>
    <row r="1125" spans="1:3" x14ac:dyDescent="0.25">
      <c r="A1125" s="1">
        <v>45825</v>
      </c>
      <c r="B1125" s="2">
        <v>54935</v>
      </c>
      <c r="C1125" s="3">
        <f>(VOO_data[[#This Row],[Último]]/B1124)-1</f>
        <v>-8.5187792156226072E-3</v>
      </c>
    </row>
    <row r="1126" spans="1:3" x14ac:dyDescent="0.25">
      <c r="A1126" s="1">
        <v>45826</v>
      </c>
      <c r="B1126" s="2">
        <v>54924</v>
      </c>
      <c r="C1126" s="3">
        <f>(VOO_data[[#This Row],[Último]]/B1125)-1</f>
        <v>-2.0023664330570679E-4</v>
      </c>
    </row>
    <row r="1127" spans="1:3" x14ac:dyDescent="0.25">
      <c r="A1127" s="1">
        <v>45828</v>
      </c>
      <c r="B1127" s="2">
        <v>54772</v>
      </c>
      <c r="C1127" s="3">
        <f>(VOO_data[[#This Row],[Último]]/B1126)-1</f>
        <v>-2.7674604908600742E-3</v>
      </c>
    </row>
    <row r="1128" spans="1:3" x14ac:dyDescent="0.25">
      <c r="A1128" s="1">
        <v>45831</v>
      </c>
      <c r="B1128" s="2">
        <v>55336</v>
      </c>
      <c r="C1128" s="3">
        <f>(VOO_data[[#This Row],[Último]]/B1127)-1</f>
        <v>1.0297232162418846E-2</v>
      </c>
    </row>
    <row r="1129" spans="1:3" x14ac:dyDescent="0.25">
      <c r="A1129" s="1">
        <v>45832</v>
      </c>
      <c r="B1129" s="2">
        <v>55944</v>
      </c>
      <c r="C1129" s="3">
        <f>(VOO_data[[#This Row],[Último]]/B1128)-1</f>
        <v>1.0987422292901616E-2</v>
      </c>
    </row>
    <row r="1130" spans="1:3" x14ac:dyDescent="0.25">
      <c r="A1130" s="1">
        <v>45833</v>
      </c>
      <c r="B1130" s="2">
        <v>55972</v>
      </c>
      <c r="C1130" s="3">
        <f>(VOO_data[[#This Row],[Último]]/B1129)-1</f>
        <v>5.0050050050054473E-4</v>
      </c>
    </row>
    <row r="1131" spans="1:3" x14ac:dyDescent="0.25">
      <c r="A1131" s="1">
        <v>45834</v>
      </c>
      <c r="B1131" s="2">
        <v>56415</v>
      </c>
      <c r="C1131" s="3">
        <f>(VOO_data[[#This Row],[Último]]/B1130)-1</f>
        <v>7.9146716215250379E-3</v>
      </c>
    </row>
    <row r="1132" spans="1:3" x14ac:dyDescent="0.25">
      <c r="A1132" s="1">
        <v>45835</v>
      </c>
      <c r="B1132" s="2">
        <v>56695</v>
      </c>
      <c r="C1132" s="3">
        <f>(VOO_data[[#This Row],[Último]]/B1131)-1</f>
        <v>4.9632190020385547E-3</v>
      </c>
    </row>
    <row r="1133" spans="1:3" x14ac:dyDescent="0.25">
      <c r="A1133" s="1">
        <v>45838</v>
      </c>
      <c r="B1133" s="2">
        <v>56803</v>
      </c>
      <c r="C1133" s="3">
        <f>(VOO_data[[#This Row],[Último]]/B1132)-1</f>
        <v>1.9049298879971754E-3</v>
      </c>
    </row>
    <row r="1134" spans="1:3" x14ac:dyDescent="0.25">
      <c r="A1134" s="1">
        <v>45839</v>
      </c>
      <c r="B1134" s="2">
        <v>56777</v>
      </c>
      <c r="C1134" s="3">
        <f>(VOO_data[[#This Row],[Último]]/B1133)-1</f>
        <v>-4.5772230339946596E-4</v>
      </c>
    </row>
    <row r="1135" spans="1:3" x14ac:dyDescent="0.25">
      <c r="A1135" s="1">
        <v>45840</v>
      </c>
      <c r="B1135" s="2">
        <v>57029</v>
      </c>
      <c r="C1135" s="3">
        <f>(VOO_data[[#This Row],[Último]]/B1134)-1</f>
        <v>4.4384169646158877E-3</v>
      </c>
    </row>
    <row r="1136" spans="1:3" x14ac:dyDescent="0.25">
      <c r="A1136" s="1">
        <v>45841</v>
      </c>
      <c r="B1136" s="2">
        <v>57522</v>
      </c>
      <c r="C1136" s="3">
        <f>(VOO_data[[#This Row],[Último]]/B1135)-1</f>
        <v>8.6447246137930644E-3</v>
      </c>
    </row>
    <row r="1137" spans="1:3" x14ac:dyDescent="0.25">
      <c r="A1137" s="1">
        <v>45845</v>
      </c>
      <c r="B1137" s="2">
        <v>57061</v>
      </c>
      <c r="C1137" s="3">
        <f>(VOO_data[[#This Row],[Último]]/B1136)-1</f>
        <v>-8.0143249539306183E-3</v>
      </c>
    </row>
    <row r="1138" spans="1:3" x14ac:dyDescent="0.25">
      <c r="A1138" s="1">
        <v>45846</v>
      </c>
      <c r="B1138" s="2">
        <v>57023</v>
      </c>
      <c r="C1138" s="3">
        <f>(VOO_data[[#This Row],[Último]]/B1137)-1</f>
        <v>-6.6595397907498466E-4</v>
      </c>
    </row>
    <row r="1139" spans="1:3" x14ac:dyDescent="0.25">
      <c r="A1139" s="1">
        <v>45847</v>
      </c>
      <c r="B1139" s="2">
        <v>57361</v>
      </c>
      <c r="C1139" s="3">
        <f>(VOO_data[[#This Row],[Último]]/B1138)-1</f>
        <v>5.9274327902776314E-3</v>
      </c>
    </row>
    <row r="1140" spans="1:3" x14ac:dyDescent="0.25">
      <c r="A1140" s="1">
        <v>45848</v>
      </c>
      <c r="B1140" s="2">
        <v>57529</v>
      </c>
      <c r="C1140" s="3">
        <f>(VOO_data[[#This Row],[Último]]/B1139)-1</f>
        <v>2.9288192325795936E-3</v>
      </c>
    </row>
    <row r="1141" spans="1:3" x14ac:dyDescent="0.25">
      <c r="A1141" s="1">
        <v>45849</v>
      </c>
      <c r="B1141" s="2">
        <v>57322</v>
      </c>
      <c r="C1141" s="3">
        <f>(VOO_data[[#This Row],[Último]]/B1140)-1</f>
        <v>-3.5981852630847522E-3</v>
      </c>
    </row>
    <row r="1142" spans="1:3" x14ac:dyDescent="0.25">
      <c r="A1142" s="1">
        <v>45852</v>
      </c>
      <c r="B1142" s="2">
        <v>57435</v>
      </c>
      <c r="C1142" s="3">
        <f>(VOO_data[[#This Row],[Último]]/B1141)-1</f>
        <v>1.9713199120756641E-3</v>
      </c>
    </row>
    <row r="1143" spans="1:3" x14ac:dyDescent="0.25">
      <c r="A1143" s="1">
        <v>45853</v>
      </c>
      <c r="B1143" s="2">
        <v>57186</v>
      </c>
      <c r="C1143" s="3">
        <f>(VOO_data[[#This Row],[Último]]/B1142)-1</f>
        <v>-4.3353355967615803E-3</v>
      </c>
    </row>
    <row r="1144" spans="1:3" x14ac:dyDescent="0.25">
      <c r="A1144" s="1">
        <v>45854</v>
      </c>
      <c r="B1144" s="2">
        <v>57374</v>
      </c>
      <c r="C1144" s="3">
        <f>(VOO_data[[#This Row],[Último]]/B1143)-1</f>
        <v>3.2875179239673091E-3</v>
      </c>
    </row>
    <row r="1145" spans="1:3" x14ac:dyDescent="0.25">
      <c r="A1145" s="1">
        <v>45855</v>
      </c>
      <c r="B1145" s="2">
        <v>57718</v>
      </c>
      <c r="C1145" s="3">
        <f>(VOO_data[[#This Row],[Último]]/B1144)-1</f>
        <v>5.9957472025655711E-3</v>
      </c>
    </row>
    <row r="1146" spans="1:3" x14ac:dyDescent="0.25">
      <c r="A1146" s="1">
        <v>45856</v>
      </c>
      <c r="B1146" s="2">
        <v>57692</v>
      </c>
      <c r="C1146" s="3">
        <f>(VOO_data[[#This Row],[Último]]/B1145)-1</f>
        <v>-4.5046605911502891E-4</v>
      </c>
    </row>
    <row r="1147" spans="1:3" x14ac:dyDescent="0.25">
      <c r="A1147" s="1">
        <v>45859</v>
      </c>
      <c r="B1147" s="2">
        <v>57795</v>
      </c>
      <c r="C1147" s="3">
        <f>(VOO_data[[#This Row],[Último]]/B1146)-1</f>
        <v>1.7853428551619643E-3</v>
      </c>
    </row>
    <row r="1148" spans="1:3" x14ac:dyDescent="0.25">
      <c r="A1148" s="1">
        <v>45860</v>
      </c>
      <c r="B1148" s="2">
        <v>57795</v>
      </c>
      <c r="C1148" s="3">
        <f>(VOO_data[[#This Row],[Último]]/B1147)-1</f>
        <v>0</v>
      </c>
    </row>
    <row r="1149" spans="1:3" x14ac:dyDescent="0.25">
      <c r="A1149" s="1">
        <v>45861</v>
      </c>
      <c r="B1149" s="2">
        <v>58286</v>
      </c>
      <c r="C1149" s="3">
        <f>(VOO_data[[#This Row],[Último]]/B1148)-1</f>
        <v>8.4955445972834109E-3</v>
      </c>
    </row>
    <row r="1150" spans="1:3" x14ac:dyDescent="0.25">
      <c r="A1150" s="1">
        <v>45862</v>
      </c>
      <c r="B1150" s="2">
        <v>58326</v>
      </c>
      <c r="C1150" s="3">
        <f>(VOO_data[[#This Row],[Último]]/B1149)-1</f>
        <v>6.8627114572961112E-4</v>
      </c>
    </row>
    <row r="1151" spans="1:3" x14ac:dyDescent="0.25">
      <c r="A1151" s="1">
        <v>45863</v>
      </c>
      <c r="B1151" s="2">
        <v>58558</v>
      </c>
      <c r="C1151" s="3">
        <f>(VOO_data[[#This Row],[Último]]/B1150)-1</f>
        <v>3.9776429036793015E-3</v>
      </c>
    </row>
    <row r="1152" spans="1:3" x14ac:dyDescent="0.25">
      <c r="A1152" s="1">
        <v>45866</v>
      </c>
      <c r="B1152" s="2">
        <v>58544</v>
      </c>
      <c r="C1152" s="3">
        <f>(VOO_data[[#This Row],[Último]]/B1151)-1</f>
        <v>-2.39079203524728E-4</v>
      </c>
    </row>
    <row r="1153" spans="1:3" x14ac:dyDescent="0.25">
      <c r="A1153" s="1">
        <v>45867</v>
      </c>
      <c r="B1153" s="2">
        <v>58392</v>
      </c>
      <c r="C1153" s="3">
        <f>(VOO_data[[#This Row],[Último]]/B1152)-1</f>
        <v>-2.5963377972123558E-3</v>
      </c>
    </row>
    <row r="1154" spans="1:3" x14ac:dyDescent="0.25">
      <c r="A1154" s="1">
        <v>45868</v>
      </c>
      <c r="B1154" s="2">
        <v>58321</v>
      </c>
      <c r="C1154" s="3">
        <f>(VOO_data[[#This Row],[Último]]/B1153)-1</f>
        <v>-1.2159199890395822E-3</v>
      </c>
    </row>
    <row r="1155" spans="1:3" x14ac:dyDescent="0.25">
      <c r="A1155" s="1">
        <v>45869</v>
      </c>
      <c r="B1155" s="2">
        <v>58102</v>
      </c>
      <c r="C1155" s="3">
        <f>(VOO_data[[#This Row],[Último]]/B1154)-1</f>
        <v>-3.7550796454107749E-3</v>
      </c>
    </row>
    <row r="1156" spans="1:3" x14ac:dyDescent="0.25">
      <c r="A1156" s="1">
        <v>45870</v>
      </c>
      <c r="B1156" s="2">
        <v>57145</v>
      </c>
      <c r="C1156" s="3">
        <f>(VOO_data[[#This Row],[Último]]/B1155)-1</f>
        <v>-1.6471033699356319E-2</v>
      </c>
    </row>
    <row r="1157" spans="1:3" x14ac:dyDescent="0.25">
      <c r="A1157" s="1">
        <v>45873</v>
      </c>
      <c r="B1157" s="2">
        <v>58014</v>
      </c>
      <c r="C1157" s="3">
        <f>(VOO_data[[#This Row],[Último]]/B1156)-1</f>
        <v>1.5206929740134711E-2</v>
      </c>
    </row>
    <row r="1158" spans="1:3" x14ac:dyDescent="0.25">
      <c r="A1158" s="1">
        <v>45874</v>
      </c>
      <c r="B1158" s="2">
        <v>57735</v>
      </c>
      <c r="C1158" s="3">
        <f>(VOO_data[[#This Row],[Último]]/B1157)-1</f>
        <v>-4.8091839900713529E-3</v>
      </c>
    </row>
    <row r="1159" spans="1:3" x14ac:dyDescent="0.25">
      <c r="A1159" s="1">
        <v>45875</v>
      </c>
      <c r="B1159" s="2">
        <v>58164</v>
      </c>
      <c r="C1159" s="3">
        <f>(VOO_data[[#This Row],[Último]]/B1158)-1</f>
        <v>7.4305014289426374E-3</v>
      </c>
    </row>
    <row r="1160" spans="1:3" x14ac:dyDescent="0.25">
      <c r="A1160" s="1">
        <v>45876</v>
      </c>
      <c r="B1160" s="2">
        <v>58129</v>
      </c>
      <c r="C1160" s="3">
        <f>(VOO_data[[#This Row],[Último]]/B1159)-1</f>
        <v>-6.0174678495283906E-4</v>
      </c>
    </row>
    <row r="1161" spans="1:3" x14ac:dyDescent="0.25">
      <c r="A1161" s="1">
        <v>45877</v>
      </c>
      <c r="B1161" s="2">
        <v>58574</v>
      </c>
      <c r="C1161" s="3">
        <f>(VOO_data[[#This Row],[Último]]/B1160)-1</f>
        <v>7.6553871561526599E-3</v>
      </c>
    </row>
    <row r="1162" spans="1:3" x14ac:dyDescent="0.25">
      <c r="A1162" s="1">
        <v>45880</v>
      </c>
      <c r="B1162" s="2">
        <v>58454</v>
      </c>
      <c r="C1162" s="3">
        <f>(VOO_data[[#This Row],[Último]]/B1161)-1</f>
        <v>-2.0486905452931081E-3</v>
      </c>
    </row>
    <row r="1163" spans="1:3" x14ac:dyDescent="0.25">
      <c r="A1163" s="1">
        <v>45881</v>
      </c>
      <c r="B1163" s="2">
        <v>59078</v>
      </c>
      <c r="C1163" s="3">
        <f>(VOO_data[[#This Row],[Último]]/B1162)-1</f>
        <v>1.0675060731515362E-2</v>
      </c>
    </row>
    <row r="1164" spans="1:3" x14ac:dyDescent="0.25">
      <c r="A1164" s="1">
        <v>45882</v>
      </c>
      <c r="B1164" s="2">
        <v>59284</v>
      </c>
      <c r="C1164" s="3">
        <f>(VOO_data[[#This Row],[Último]]/B1163)-1</f>
        <v>3.4869156031009929E-3</v>
      </c>
    </row>
    <row r="1165" spans="1:3" x14ac:dyDescent="0.25">
      <c r="A1165" s="1">
        <v>45883</v>
      </c>
      <c r="B1165" s="2">
        <v>59285</v>
      </c>
      <c r="C1165" s="3">
        <f>(VOO_data[[#This Row],[Último]]/B1164)-1</f>
        <v>1.6867957627786367E-5</v>
      </c>
    </row>
    <row r="1166" spans="1:3" x14ac:dyDescent="0.25">
      <c r="A1166" s="1">
        <v>45884</v>
      </c>
      <c r="B1166" s="2">
        <v>59157</v>
      </c>
      <c r="C1166" s="3">
        <f>(VOO_data[[#This Row],[Último]]/B1165)-1</f>
        <v>-2.1590621573753799E-3</v>
      </c>
    </row>
    <row r="1167" spans="1:3" x14ac:dyDescent="0.25">
      <c r="A1167" s="1">
        <v>45887</v>
      </c>
      <c r="B1167" s="2">
        <v>59136</v>
      </c>
      <c r="C1167" s="3">
        <f>(VOO_data[[#This Row],[Último]]/B1166)-1</f>
        <v>-3.5498757543483972E-4</v>
      </c>
    </row>
    <row r="1168" spans="1:3" x14ac:dyDescent="0.25">
      <c r="A1168" s="1">
        <v>45888</v>
      </c>
      <c r="B1168" s="2">
        <v>58813</v>
      </c>
      <c r="C1168" s="3">
        <f>(VOO_data[[#This Row],[Último]]/B1167)-1</f>
        <v>-5.4619859307358798E-3</v>
      </c>
    </row>
    <row r="1169" spans="1:3" x14ac:dyDescent="0.25">
      <c r="A1169" s="1">
        <v>45889</v>
      </c>
      <c r="B1169" s="2">
        <v>58658</v>
      </c>
      <c r="C1169" s="3">
        <f>(VOO_data[[#This Row],[Último]]/B1168)-1</f>
        <v>-2.635471749443119E-3</v>
      </c>
    </row>
    <row r="1170" spans="1:3" x14ac:dyDescent="0.25">
      <c r="A1170" s="1">
        <v>45890</v>
      </c>
      <c r="B1170" s="2">
        <v>58427</v>
      </c>
      <c r="C1170" s="3">
        <f>(VOO_data[[#This Row],[Último]]/B1169)-1</f>
        <v>-3.9380817620784381E-3</v>
      </c>
    </row>
    <row r="1171" spans="1:3" x14ac:dyDescent="0.25">
      <c r="A1171" s="1">
        <v>45891</v>
      </c>
      <c r="B1171" s="2">
        <v>59321</v>
      </c>
      <c r="C1171" s="3">
        <f>(VOO_data[[#This Row],[Último]]/B1170)-1</f>
        <v>1.5301145018570272E-2</v>
      </c>
    </row>
    <row r="1172" spans="1:3" x14ac:dyDescent="0.25">
      <c r="A1172" s="1">
        <v>45894</v>
      </c>
      <c r="B1172" s="2">
        <v>59070</v>
      </c>
      <c r="C1172" s="3">
        <f>(VOO_data[[#This Row],[Último]]/B1171)-1</f>
        <v>-4.2312166012036245E-3</v>
      </c>
    </row>
    <row r="1173" spans="1:3" x14ac:dyDescent="0.25">
      <c r="A1173" s="1">
        <v>45895</v>
      </c>
      <c r="B1173" s="2">
        <v>59306</v>
      </c>
      <c r="C1173" s="3">
        <f>(VOO_data[[#This Row],[Último]]/B1172)-1</f>
        <v>3.9952598611816548E-3</v>
      </c>
    </row>
    <row r="1174" spans="1:3" x14ac:dyDescent="0.25">
      <c r="A1174" s="1">
        <v>45896</v>
      </c>
      <c r="B1174" s="2">
        <v>59442</v>
      </c>
      <c r="C1174" s="3">
        <f>(VOO_data[[#This Row],[Último]]/B1173)-1</f>
        <v>2.2931912454051684E-3</v>
      </c>
    </row>
    <row r="1175" spans="1:3" x14ac:dyDescent="0.25">
      <c r="A1175" s="1">
        <v>45897</v>
      </c>
      <c r="B1175" s="2">
        <v>59652</v>
      </c>
      <c r="C1175" s="3">
        <f>(VOO_data[[#This Row],[Último]]/B1174)-1</f>
        <v>3.5328555566771502E-3</v>
      </c>
    </row>
    <row r="1176" spans="1:3" x14ac:dyDescent="0.25">
      <c r="A1176" s="1">
        <v>45898</v>
      </c>
      <c r="B1176" s="2">
        <v>59308</v>
      </c>
      <c r="C1176" s="3">
        <f>(VOO_data[[#This Row],[Último]]/B1175)-1</f>
        <v>-5.7667806611680916E-3</v>
      </c>
    </row>
    <row r="1177" spans="1:3" x14ac:dyDescent="0.25">
      <c r="A1177" s="1">
        <v>45902</v>
      </c>
      <c r="B1177" s="2">
        <v>58871</v>
      </c>
      <c r="C1177" s="3">
        <f>(VOO_data[[#This Row],[Último]]/B1176)-1</f>
        <v>-7.3683145612734036E-3</v>
      </c>
    </row>
    <row r="1178" spans="1:3" x14ac:dyDescent="0.25">
      <c r="A1178" s="1">
        <v>45903</v>
      </c>
      <c r="B1178" s="2">
        <v>59172</v>
      </c>
      <c r="C1178" s="3">
        <f>(VOO_data[[#This Row],[Último]]/B1177)-1</f>
        <v>5.11287391075399E-3</v>
      </c>
    </row>
    <row r="1179" spans="1:3" x14ac:dyDescent="0.25">
      <c r="A1179" s="1">
        <v>45904</v>
      </c>
      <c r="B1179" s="2">
        <v>59659</v>
      </c>
      <c r="C1179" s="3">
        <f>(VOO_data[[#This Row],[Último]]/B1178)-1</f>
        <v>8.2302440343404726E-3</v>
      </c>
    </row>
    <row r="1180" spans="1:3" x14ac:dyDescent="0.25">
      <c r="A1180" s="1">
        <v>45905</v>
      </c>
      <c r="B1180" s="2">
        <v>59496</v>
      </c>
      <c r="C1180" s="3">
        <f>(VOO_data[[#This Row],[Último]]/B1179)-1</f>
        <v>-2.7321946395346686E-3</v>
      </c>
    </row>
    <row r="1181" spans="1:3" x14ac:dyDescent="0.25">
      <c r="A1181" s="1">
        <v>45908</v>
      </c>
      <c r="B1181" s="2">
        <v>59650</v>
      </c>
      <c r="C1181" s="3">
        <f>(VOO_data[[#This Row],[Último]]/B1180)-1</f>
        <v>2.5884093048271772E-3</v>
      </c>
    </row>
    <row r="1182" spans="1:3" x14ac:dyDescent="0.25">
      <c r="A1182" s="1">
        <v>45909</v>
      </c>
      <c r="B1182" s="2">
        <v>59795</v>
      </c>
      <c r="C1182" s="3">
        <f>(VOO_data[[#This Row],[Último]]/B1181)-1</f>
        <v>2.4308466051969901E-3</v>
      </c>
    </row>
    <row r="1183" spans="1:3" x14ac:dyDescent="0.25">
      <c r="A1183" s="1">
        <v>45910</v>
      </c>
      <c r="B1183" s="2">
        <v>59968</v>
      </c>
      <c r="C1183" s="3">
        <f>(VOO_data[[#This Row],[Último]]/B1182)-1</f>
        <v>2.8932184965297925E-3</v>
      </c>
    </row>
    <row r="1184" spans="1:3" x14ac:dyDescent="0.25">
      <c r="A1184" s="1">
        <v>45911</v>
      </c>
      <c r="B1184" s="2">
        <v>60457</v>
      </c>
      <c r="C1184" s="3">
        <f>(VOO_data[[#This Row],[Último]]/B1183)-1</f>
        <v>8.1543489861259921E-3</v>
      </c>
    </row>
    <row r="1185" spans="1:3" x14ac:dyDescent="0.25">
      <c r="A1185" s="1">
        <v>45912</v>
      </c>
      <c r="B1185" s="2">
        <v>60444</v>
      </c>
      <c r="C1185" s="3">
        <f>(VOO_data[[#This Row],[Último]]/B1184)-1</f>
        <v>-2.1502886348978567E-4</v>
      </c>
    </row>
    <row r="1186" spans="1:3" x14ac:dyDescent="0.25">
      <c r="A1186" s="1">
        <v>45915</v>
      </c>
      <c r="B1186" s="2">
        <v>60759</v>
      </c>
      <c r="C1186" s="3">
        <f>(VOO_data[[#This Row],[Último]]/B1185)-1</f>
        <v>5.2114353782013456E-3</v>
      </c>
    </row>
    <row r="1187" spans="1:3" x14ac:dyDescent="0.25">
      <c r="A1187" s="1">
        <v>45916</v>
      </c>
      <c r="B1187" s="2">
        <v>60679</v>
      </c>
      <c r="C1187" s="3">
        <f>(VOO_data[[#This Row],[Último]]/B1186)-1</f>
        <v>-1.3166773646702268E-3</v>
      </c>
    </row>
    <row r="1188" spans="1:3" x14ac:dyDescent="0.25">
      <c r="A1188" s="1">
        <v>45917</v>
      </c>
      <c r="B1188" s="2">
        <v>60609</v>
      </c>
      <c r="C1188" s="3">
        <f>(VOO_data[[#This Row],[Último]]/B1187)-1</f>
        <v>-1.1536116284052156E-3</v>
      </c>
    </row>
    <row r="1189" spans="1:3" x14ac:dyDescent="0.25">
      <c r="A1189" s="1">
        <v>45918</v>
      </c>
      <c r="B1189" s="2">
        <v>60894</v>
      </c>
      <c r="C1189" s="3">
        <f>(VOO_data[[#This Row],[Último]]/B1188)-1</f>
        <v>4.7022719398108759E-3</v>
      </c>
    </row>
    <row r="1190" spans="1:3" x14ac:dyDescent="0.25">
      <c r="A1190" s="1">
        <v>45919</v>
      </c>
      <c r="B1190" s="2">
        <v>61178</v>
      </c>
      <c r="C1190" s="3">
        <f>(VOO_data[[#This Row],[Último]]/B1189)-1</f>
        <v>4.6638420862481489E-3</v>
      </c>
    </row>
    <row r="1191" spans="1:3" x14ac:dyDescent="0.25">
      <c r="A1191" s="1">
        <v>45922</v>
      </c>
      <c r="B1191" s="2">
        <v>61476</v>
      </c>
      <c r="C1191" s="3">
        <f>(VOO_data[[#This Row],[Último]]/B1190)-1</f>
        <v>4.8710320703519994E-3</v>
      </c>
    </row>
    <row r="1192" spans="1:3" x14ac:dyDescent="0.25">
      <c r="A1192" s="1">
        <v>45923</v>
      </c>
      <c r="B1192" s="2">
        <v>61154</v>
      </c>
      <c r="C1192" s="3">
        <f>(VOO_data[[#This Row],[Último]]/B1191)-1</f>
        <v>-5.2378163836294123E-3</v>
      </c>
    </row>
    <row r="1193" spans="1:3" x14ac:dyDescent="0.25">
      <c r="A1193" s="1">
        <v>45924</v>
      </c>
      <c r="B1193" s="2">
        <v>60950</v>
      </c>
      <c r="C1193" s="3">
        <f>(VOO_data[[#This Row],[Último]]/B1192)-1</f>
        <v>-3.3358406645518368E-3</v>
      </c>
    </row>
    <row r="1194" spans="1:3" x14ac:dyDescent="0.25">
      <c r="A1194" s="1">
        <v>45925</v>
      </c>
      <c r="B1194" s="2">
        <v>60659</v>
      </c>
      <c r="C1194" s="3">
        <f>(VOO_data[[#This Row],[Último]]/B1193)-1</f>
        <v>-4.774405250205116E-3</v>
      </c>
    </row>
    <row r="1195" spans="1:3" x14ac:dyDescent="0.25">
      <c r="A1195" s="1">
        <v>45926</v>
      </c>
      <c r="B1195" s="2">
        <v>61016</v>
      </c>
      <c r="C1195" s="3">
        <f>(VOO_data[[#This Row],[Último]]/B1194)-1</f>
        <v>5.8853591387921789E-3</v>
      </c>
    </row>
    <row r="1196" spans="1:3" x14ac:dyDescent="0.25">
      <c r="A1196" s="1">
        <v>45929</v>
      </c>
      <c r="B1196" s="2">
        <v>61013</v>
      </c>
      <c r="C1196" s="3">
        <f>(VOO_data[[#This Row],[Último]]/B1195)-1</f>
        <v>-4.9167431493413183E-5</v>
      </c>
    </row>
    <row r="1197" spans="1:3" x14ac:dyDescent="0.25">
      <c r="A1197" s="1">
        <v>45930</v>
      </c>
      <c r="B1197" s="2">
        <v>61238</v>
      </c>
      <c r="C1197" s="3">
        <f>(VOO_data[[#This Row],[Último]]/B1196)-1</f>
        <v>3.6877386786422495E-3</v>
      </c>
    </row>
    <row r="1198" spans="1:3" x14ac:dyDescent="0.25">
      <c r="A1198" s="1">
        <v>45931</v>
      </c>
      <c r="B1198" s="2">
        <v>61457</v>
      </c>
      <c r="C1198" s="3">
        <f>(VOO_data[[#This Row],[Último]]/B1197)-1</f>
        <v>3.576210849472572E-3</v>
      </c>
    </row>
    <row r="1199" spans="1:3" x14ac:dyDescent="0.25">
      <c r="A1199" s="1">
        <v>45932</v>
      </c>
      <c r="B1199" s="2">
        <v>61525</v>
      </c>
      <c r="C1199" s="3">
        <f>(VOO_data[[#This Row],[Último]]/B1198)-1</f>
        <v>1.1064646826235425E-3</v>
      </c>
    </row>
    <row r="1200" spans="1:3" x14ac:dyDescent="0.25">
      <c r="A1200" s="1">
        <v>45933</v>
      </c>
      <c r="B1200" s="2">
        <v>61530</v>
      </c>
      <c r="C1200" s="3">
        <f>(VOO_data[[#This Row],[Último]]/B1199)-1</f>
        <v>8.1267777326310409E-5</v>
      </c>
    </row>
    <row r="1201" spans="1:3" x14ac:dyDescent="0.25">
      <c r="A1201" s="1">
        <v>45936</v>
      </c>
      <c r="B1201" s="2">
        <v>61740</v>
      </c>
      <c r="C1201" s="3">
        <f>(VOO_data[[#This Row],[Último]]/B1200)-1</f>
        <v>3.4129692832765013E-3</v>
      </c>
    </row>
    <row r="1202" spans="1:3" x14ac:dyDescent="0.25">
      <c r="A1202" s="1">
        <v>45937</v>
      </c>
      <c r="B1202" s="2">
        <v>61520</v>
      </c>
      <c r="C1202" s="3">
        <f>(VOO_data[[#This Row],[Último]]/B1201)-1</f>
        <v>-3.5633300939423851E-3</v>
      </c>
    </row>
    <row r="1203" spans="1:3" x14ac:dyDescent="0.25">
      <c r="A1203" s="1">
        <v>45938</v>
      </c>
      <c r="B1203" s="2">
        <v>61877</v>
      </c>
      <c r="C1203" s="3">
        <f>(VOO_data[[#This Row],[Último]]/B1202)-1</f>
        <v>5.8029908972692112E-3</v>
      </c>
    </row>
    <row r="1204" spans="1:3" x14ac:dyDescent="0.25">
      <c r="A1204" s="1">
        <v>45939</v>
      </c>
      <c r="B1204" s="2">
        <v>61710</v>
      </c>
      <c r="C1204" s="3">
        <f>(VOO_data[[#This Row],[Último]]/B1203)-1</f>
        <v>-2.6989026617321166E-3</v>
      </c>
    </row>
    <row r="1205" spans="1:3" x14ac:dyDescent="0.25">
      <c r="A1205" s="1">
        <v>45940</v>
      </c>
      <c r="B1205" s="2">
        <v>60051</v>
      </c>
      <c r="C1205" s="3">
        <f>(VOO_data[[#This Row],[Último]]/B1204)-1</f>
        <v>-2.688381137578999E-2</v>
      </c>
    </row>
    <row r="1206" spans="1:3" x14ac:dyDescent="0.25">
      <c r="A1206" s="1">
        <v>45943</v>
      </c>
      <c r="B1206" s="2">
        <v>60961</v>
      </c>
      <c r="C1206" s="3">
        <f>(VOO_data[[#This Row],[Último]]/B1205)-1</f>
        <v>1.5153785948610388E-2</v>
      </c>
    </row>
    <row r="1207" spans="1:3" x14ac:dyDescent="0.25">
      <c r="A1207" s="1">
        <v>45944</v>
      </c>
      <c r="B1207" s="2">
        <v>60875</v>
      </c>
      <c r="C1207" s="3">
        <f>(VOO_data[[#This Row],[Último]]/B1206)-1</f>
        <v>-1.4107380128278724E-3</v>
      </c>
    </row>
    <row r="1208" spans="1:3" x14ac:dyDescent="0.25">
      <c r="A1208" s="1">
        <v>45945</v>
      </c>
      <c r="B1208" s="2">
        <v>61143</v>
      </c>
      <c r="C1208" s="3">
        <f>(VOO_data[[#This Row],[Último]]/B1207)-1</f>
        <v>4.4024640657083225E-3</v>
      </c>
    </row>
    <row r="1209" spans="1:3" x14ac:dyDescent="0.25">
      <c r="A1209" s="1">
        <v>45946</v>
      </c>
      <c r="B1209" s="2">
        <v>60739</v>
      </c>
      <c r="C1209" s="3">
        <f>(VOO_data[[#This Row],[Último]]/B1208)-1</f>
        <v>-6.6074611975205366E-3</v>
      </c>
    </row>
    <row r="1210" spans="1:3" x14ac:dyDescent="0.25">
      <c r="A1210" s="1">
        <v>45947</v>
      </c>
      <c r="B1210" s="2">
        <v>61076</v>
      </c>
      <c r="C1210" s="3">
        <f>(VOO_data[[#This Row],[Último]]/B1209)-1</f>
        <v>5.5483297387182162E-3</v>
      </c>
    </row>
    <row r="1211" spans="1:3" x14ac:dyDescent="0.25">
      <c r="A1211" s="1">
        <v>45950</v>
      </c>
      <c r="B1211" s="2">
        <v>61717</v>
      </c>
      <c r="C1211" s="3">
        <f>(VOO_data[[#This Row],[Último]]/B1210)-1</f>
        <v>1.0495120833060367E-2</v>
      </c>
    </row>
    <row r="1212" spans="1:3" x14ac:dyDescent="0.25">
      <c r="A1212" s="1">
        <v>45951</v>
      </c>
      <c r="B1212" s="2">
        <v>61709</v>
      </c>
      <c r="C1212" s="3">
        <f>(VOO_data[[#This Row],[Último]]/B1211)-1</f>
        <v>-1.2962392857718275E-4</v>
      </c>
    </row>
    <row r="1213" spans="1:3" x14ac:dyDescent="0.25">
      <c r="A1213" s="1">
        <v>45952</v>
      </c>
      <c r="B1213" s="2">
        <v>61397</v>
      </c>
      <c r="C1213" s="3">
        <f>(VOO_data[[#This Row],[Último]]/B1212)-1</f>
        <v>-5.0559885916154901E-3</v>
      </c>
    </row>
    <row r="1214" spans="1:3" x14ac:dyDescent="0.25">
      <c r="A1214" s="1">
        <v>45953</v>
      </c>
      <c r="B1214" s="2">
        <v>61744</v>
      </c>
      <c r="C1214" s="3">
        <f>(VOO_data[[#This Row],[Último]]/B1213)-1</f>
        <v>5.651741941788746E-3</v>
      </c>
    </row>
    <row r="1215" spans="1:3" x14ac:dyDescent="0.25">
      <c r="A1215" s="1">
        <v>45954</v>
      </c>
      <c r="B1215" s="2">
        <v>62255</v>
      </c>
      <c r="C1215" s="3">
        <f>(VOO_data[[#This Row],[Último]]/B1214)-1</f>
        <v>8.2761077999482513E-3</v>
      </c>
    </row>
    <row r="1216" spans="1:3" x14ac:dyDescent="0.25">
      <c r="A1216" s="1">
        <v>45957</v>
      </c>
      <c r="B1216" s="2">
        <v>63000</v>
      </c>
      <c r="C1216" s="3">
        <f>(VOO_data[[#This Row],[Último]]/B1215)-1</f>
        <v>1.196691028833019E-2</v>
      </c>
    </row>
    <row r="1217" spans="1:3" x14ac:dyDescent="0.25">
      <c r="A1217" s="1">
        <v>45958</v>
      </c>
      <c r="B1217" s="2">
        <v>63169</v>
      </c>
      <c r="C1217" s="3">
        <f>(VOO_data[[#This Row],[Último]]/B1216)-1</f>
        <v>2.6825396825396197E-3</v>
      </c>
    </row>
    <row r="1218" spans="1:3" x14ac:dyDescent="0.25">
      <c r="A1218" s="1">
        <v>45959</v>
      </c>
      <c r="B1218" s="2">
        <v>63195</v>
      </c>
      <c r="C1218" s="3">
        <f>(VOO_data[[#This Row],[Último]]/B1217)-1</f>
        <v>4.115942946698592E-4</v>
      </c>
    </row>
    <row r="1219" spans="1:3" x14ac:dyDescent="0.25">
      <c r="A1219" s="1">
        <v>45960</v>
      </c>
      <c r="B1219" s="2">
        <v>62524</v>
      </c>
      <c r="C1219" s="3">
        <f>(VOO_data[[#This Row],[Último]]/B1218)-1</f>
        <v>-1.0617928633594453E-2</v>
      </c>
    </row>
    <row r="1220" spans="1:3" x14ac:dyDescent="0.25">
      <c r="A1220" s="1">
        <v>45961</v>
      </c>
      <c r="B1220" s="2">
        <v>62704</v>
      </c>
      <c r="C1220" s="3">
        <f>(VOO_data[[#This Row],[Último]]/B1219)-1</f>
        <v>2.8788945045101766E-3</v>
      </c>
    </row>
    <row r="1221" spans="1:3" x14ac:dyDescent="0.25">
      <c r="A1221" s="1">
        <v>45964</v>
      </c>
      <c r="B1221" s="2">
        <v>62827</v>
      </c>
      <c r="C1221" s="3">
        <f>(VOO_data[[#This Row],[Último]]/B1220)-1</f>
        <v>1.9615973462618896E-3</v>
      </c>
    </row>
    <row r="1222" spans="1:3" x14ac:dyDescent="0.25">
      <c r="A1222" s="1">
        <v>45965</v>
      </c>
      <c r="B1222" s="2">
        <v>62099</v>
      </c>
      <c r="C1222" s="3">
        <f>(VOO_data[[#This Row],[Último]]/B1221)-1</f>
        <v>-1.1587374854759913E-2</v>
      </c>
    </row>
    <row r="1223" spans="1:3" x14ac:dyDescent="0.25">
      <c r="A1223" s="1">
        <v>45966</v>
      </c>
      <c r="B1223" s="2">
        <v>62286</v>
      </c>
      <c r="C1223" s="3">
        <f>(VOO_data[[#This Row],[Último]]/B1222)-1</f>
        <v>3.0113206331825459E-3</v>
      </c>
    </row>
    <row r="1224" spans="1:3" x14ac:dyDescent="0.25">
      <c r="A1224" s="1">
        <v>45967</v>
      </c>
      <c r="B1224" s="2">
        <v>61624</v>
      </c>
      <c r="C1224" s="3">
        <f>(VOO_data[[#This Row],[Último]]/B1223)-1</f>
        <v>-1.0628391612882537E-2</v>
      </c>
    </row>
    <row r="1225" spans="1:3" x14ac:dyDescent="0.25">
      <c r="A1225" s="1">
        <v>45968</v>
      </c>
      <c r="B1225" s="2">
        <v>61689</v>
      </c>
      <c r="C1225" s="3">
        <f>(VOO_data[[#This Row],[Último]]/B1224)-1</f>
        <v>1.0547838504477713E-3</v>
      </c>
    </row>
    <row r="1226" spans="1:3" x14ac:dyDescent="0.25">
      <c r="A1226" s="1">
        <v>45971</v>
      </c>
      <c r="B1226" s="2">
        <v>62647</v>
      </c>
      <c r="C1226" s="3">
        <f>(VOO_data[[#This Row],[Último]]/B1225)-1</f>
        <v>1.5529510933877999E-2</v>
      </c>
    </row>
    <row r="1227" spans="1:3" x14ac:dyDescent="0.25">
      <c r="A1227" s="1">
        <v>45972</v>
      </c>
      <c r="B1227" s="2">
        <v>62791</v>
      </c>
      <c r="C1227" s="3">
        <f>(VOO_data[[#This Row],[Último]]/B1226)-1</f>
        <v>2.298593707599661E-3</v>
      </c>
    </row>
    <row r="1228" spans="1:3" x14ac:dyDescent="0.25">
      <c r="A1228" s="1">
        <v>45973</v>
      </c>
      <c r="B1228" s="2">
        <v>62822</v>
      </c>
      <c r="C1228" s="3">
        <f>(VOO_data[[#This Row],[Último]]/B1227)-1</f>
        <v>4.9370132662329702E-4</v>
      </c>
    </row>
    <row r="1229" spans="1:3" x14ac:dyDescent="0.25">
      <c r="A1229" s="1">
        <v>45974</v>
      </c>
      <c r="B1229" s="2">
        <v>61799</v>
      </c>
      <c r="C1229" s="3">
        <f>(VOO_data[[#This Row],[Último]]/B1228)-1</f>
        <v>-1.6284104294673862E-2</v>
      </c>
    </row>
    <row r="1230" spans="1:3" x14ac:dyDescent="0.25">
      <c r="A1230" s="1">
        <v>45975</v>
      </c>
      <c r="B1230" s="2">
        <v>61783</v>
      </c>
      <c r="C1230" s="3">
        <f>(VOO_data[[#This Row],[Último]]/B1229)-1</f>
        <v>-2.5890386575833091E-4</v>
      </c>
    </row>
    <row r="1231" spans="1:3" x14ac:dyDescent="0.25">
      <c r="A1231" s="1">
        <v>45978</v>
      </c>
      <c r="B1231" s="2">
        <v>61204</v>
      </c>
      <c r="C1231" s="3">
        <f>(VOO_data[[#This Row],[Último]]/B1230)-1</f>
        <v>-9.3715099622873055E-3</v>
      </c>
    </row>
    <row r="1232" spans="1:3" x14ac:dyDescent="0.25">
      <c r="A1232" s="1">
        <v>45979</v>
      </c>
      <c r="B1232" s="2">
        <v>60700</v>
      </c>
      <c r="C1232" s="3">
        <f>(VOO_data[[#This Row],[Último]]/B1231)-1</f>
        <v>-8.2347558983073554E-3</v>
      </c>
    </row>
    <row r="1233" spans="1:3" x14ac:dyDescent="0.25">
      <c r="A1233" s="1">
        <v>45980</v>
      </c>
      <c r="B1233" s="2">
        <v>60920</v>
      </c>
      <c r="C1233" s="3">
        <f>(VOO_data[[#This Row],[Último]]/B1232)-1</f>
        <v>3.624382207578325E-3</v>
      </c>
    </row>
    <row r="1234" spans="1:3" x14ac:dyDescent="0.25">
      <c r="A1234" s="1">
        <v>45981</v>
      </c>
      <c r="B1234" s="2">
        <v>59996</v>
      </c>
      <c r="C1234" s="3">
        <f>(VOO_data[[#This Row],[Último]]/B1233)-1</f>
        <v>-1.5167432698621197E-2</v>
      </c>
    </row>
    <row r="1235" spans="1:3" x14ac:dyDescent="0.25">
      <c r="A1235" s="1">
        <v>45982</v>
      </c>
      <c r="B1235" s="2">
        <v>60593</v>
      </c>
      <c r="C1235" s="3">
        <f>(VOO_data[[#This Row],[Último]]/B1234)-1</f>
        <v>9.9506633775585662E-3</v>
      </c>
    </row>
    <row r="1236" spans="1:3" x14ac:dyDescent="0.25">
      <c r="A1236" s="1">
        <v>45985</v>
      </c>
      <c r="B1236" s="2">
        <v>61494</v>
      </c>
      <c r="C1236" s="3">
        <f>(VOO_data[[#This Row],[Último]]/B1235)-1</f>
        <v>1.4869704421302865E-2</v>
      </c>
    </row>
    <row r="1237" spans="1:3" x14ac:dyDescent="0.25">
      <c r="A1237" s="1">
        <v>45986</v>
      </c>
      <c r="B1237" s="2">
        <v>62066</v>
      </c>
      <c r="C1237" s="3">
        <f>(VOO_data[[#This Row],[Último]]/B1236)-1</f>
        <v>9.3017204930563313E-3</v>
      </c>
    </row>
    <row r="1238" spans="1:3" x14ac:dyDescent="0.25">
      <c r="A1238" s="1">
        <v>45987</v>
      </c>
      <c r="B1238" s="2">
        <v>62495</v>
      </c>
      <c r="C1238" s="3">
        <f>(VOO_data[[#This Row],[Último]]/B1237)-1</f>
        <v>6.9119969065187803E-3</v>
      </c>
    </row>
    <row r="1239" spans="1:3" x14ac:dyDescent="0.25">
      <c r="A1239" s="1">
        <v>45989</v>
      </c>
      <c r="B1239" s="2">
        <v>62841</v>
      </c>
      <c r="C1239" s="3">
        <f>(VOO_data[[#This Row],[Último]]/B1238)-1</f>
        <v>5.536442915433204E-3</v>
      </c>
    </row>
    <row r="1240" spans="1:3" x14ac:dyDescent="0.25">
      <c r="A1240" s="1">
        <v>45992</v>
      </c>
      <c r="B1240" s="2">
        <v>62552</v>
      </c>
      <c r="C1240" s="3">
        <f>(VOO_data[[#This Row],[Último]]/B1239)-1</f>
        <v>-4.5989083560096233E-3</v>
      </c>
    </row>
    <row r="1241" spans="1:3" x14ac:dyDescent="0.25">
      <c r="A1241" s="1">
        <v>45993</v>
      </c>
      <c r="B1241" s="2">
        <v>62658</v>
      </c>
      <c r="C1241" s="3">
        <f>(VOO_data[[#This Row],[Último]]/B1240)-1</f>
        <v>1.6945901010358977E-3</v>
      </c>
    </row>
    <row r="1242" spans="1:3" x14ac:dyDescent="0.25">
      <c r="A1242" s="1">
        <v>45994</v>
      </c>
      <c r="B1242" s="2">
        <v>62877</v>
      </c>
      <c r="C1242" s="3">
        <f>(VOO_data[[#This Row],[Último]]/B1241)-1</f>
        <v>3.4951642248395309E-3</v>
      </c>
    </row>
    <row r="1243" spans="1:3" x14ac:dyDescent="0.25">
      <c r="A1243" s="1">
        <v>45995</v>
      </c>
      <c r="B1243" s="2">
        <v>62930</v>
      </c>
      <c r="C1243" s="3">
        <f>(VOO_data[[#This Row],[Último]]/B1242)-1</f>
        <v>8.4291553350190895E-4</v>
      </c>
    </row>
    <row r="1244" spans="1:3" x14ac:dyDescent="0.25">
      <c r="A1244" s="1">
        <v>45996</v>
      </c>
      <c r="B1244" s="2">
        <v>63048</v>
      </c>
      <c r="C1244" s="3">
        <f>(VOO_data[[#This Row],[Último]]/B1243)-1</f>
        <v>1.8750993167011565E-3</v>
      </c>
    </row>
    <row r="1245" spans="1:3" x14ac:dyDescent="0.25">
      <c r="A1245" s="1">
        <v>45999</v>
      </c>
      <c r="B1245" s="2">
        <v>62861</v>
      </c>
      <c r="C1245" s="3">
        <f>(VOO_data[[#This Row],[Último]]/B1244)-1</f>
        <v>-2.9659941631772213E-3</v>
      </c>
    </row>
    <row r="1246" spans="1:3" x14ac:dyDescent="0.25">
      <c r="A1246" s="1">
        <v>46000</v>
      </c>
      <c r="B1246" s="2">
        <v>62810</v>
      </c>
      <c r="C1246" s="3">
        <f>(VOO_data[[#This Row],[Último]]/B1245)-1</f>
        <v>-8.1131385119548316E-4</v>
      </c>
    </row>
    <row r="1247" spans="1:3" x14ac:dyDescent="0.25">
      <c r="A1247" s="1">
        <v>46001</v>
      </c>
      <c r="B1247" s="2">
        <v>63216</v>
      </c>
      <c r="C1247" s="3">
        <f>(VOO_data[[#This Row],[Último]]/B1246)-1</f>
        <v>6.4639388632383721E-3</v>
      </c>
    </row>
    <row r="1248" spans="1:3" x14ac:dyDescent="0.25">
      <c r="A1248" s="1">
        <v>46002</v>
      </c>
      <c r="B1248" s="2">
        <v>63371</v>
      </c>
      <c r="C1248" s="3">
        <f>(VOO_data[[#This Row],[Último]]/B1247)-1</f>
        <v>2.4519109086307278E-3</v>
      </c>
    </row>
    <row r="1249" spans="1:3" x14ac:dyDescent="0.25">
      <c r="A1249" s="1">
        <v>46003</v>
      </c>
      <c r="B1249" s="2">
        <v>62687</v>
      </c>
      <c r="C1249" s="3">
        <f>(VOO_data[[#This Row],[Último]]/B1248)-1</f>
        <v>-1.0793580659923308E-2</v>
      </c>
    </row>
    <row r="1250" spans="1:3" x14ac:dyDescent="0.25">
      <c r="A1250" s="1">
        <v>46006</v>
      </c>
      <c r="B1250" s="2">
        <v>62596</v>
      </c>
      <c r="C1250" s="3">
        <f>(VOO_data[[#This Row],[Último]]/B1249)-1</f>
        <v>-1.4516566433231404E-3</v>
      </c>
    </row>
    <row r="1251" spans="1:3" x14ac:dyDescent="0.25">
      <c r="A1251" s="1">
        <v>46007</v>
      </c>
      <c r="B1251" s="2">
        <v>62421</v>
      </c>
      <c r="C1251" s="3">
        <f>(VOO_data[[#This Row],[Último]]/B1250)-1</f>
        <v>-2.7957057958974962E-3</v>
      </c>
    </row>
    <row r="1252" spans="1:3" x14ac:dyDescent="0.25">
      <c r="A1252" s="1">
        <v>46008</v>
      </c>
      <c r="B1252" s="2">
        <v>61735</v>
      </c>
      <c r="C1252" s="3">
        <f>(VOO_data[[#This Row],[Último]]/B1251)-1</f>
        <v>-1.0989891222505266E-2</v>
      </c>
    </row>
    <row r="1253" spans="1:3" x14ac:dyDescent="0.25">
      <c r="A1253" s="1">
        <v>46009</v>
      </c>
      <c r="B1253" s="2">
        <v>62203</v>
      </c>
      <c r="C1253" s="3">
        <f>(VOO_data[[#This Row],[Último]]/B1252)-1</f>
        <v>7.5807888555925462E-3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DB3F-B8AD-4055-9D9B-7C98BCEB61C6}">
  <sheetPr>
    <tabColor rgb="FF002060"/>
  </sheetPr>
  <dimension ref="A1:C1248"/>
  <sheetViews>
    <sheetView topLeftCell="A1228" workbookViewId="0">
      <selection activeCell="B1239" sqref="B1239"/>
    </sheetView>
  </sheetViews>
  <sheetFormatPr baseColWidth="10" defaultRowHeight="15" x14ac:dyDescent="0.25"/>
  <cols>
    <col min="1" max="1" width="10.42578125" bestFit="1" customWidth="1"/>
    <col min="2" max="2" width="10.57031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>
        <v>44200</v>
      </c>
      <c r="B2" s="2">
        <v>4884</v>
      </c>
    </row>
    <row r="3" spans="1:3" x14ac:dyDescent="0.25">
      <c r="A3" s="1">
        <v>44201</v>
      </c>
      <c r="B3" s="2">
        <v>4858</v>
      </c>
      <c r="C3" s="4">
        <f>(WMT_data[[#This Row],[Último]]/B2)-1</f>
        <v>-5.3235053235053398E-3</v>
      </c>
    </row>
    <row r="4" spans="1:3" x14ac:dyDescent="0.25">
      <c r="A4" s="1">
        <v>44202</v>
      </c>
      <c r="B4" s="2">
        <v>4889</v>
      </c>
      <c r="C4" s="4">
        <f>(WMT_data[[#This Row],[Último]]/B3)-1</f>
        <v>6.3812268423220075E-3</v>
      </c>
    </row>
    <row r="5" spans="1:3" x14ac:dyDescent="0.25">
      <c r="A5" s="1">
        <v>44203</v>
      </c>
      <c r="B5" s="2">
        <v>4888</v>
      </c>
      <c r="C5" s="4">
        <f>(WMT_data[[#This Row],[Último]]/B4)-1</f>
        <v>-2.0454080589082935E-4</v>
      </c>
    </row>
    <row r="6" spans="1:3" x14ac:dyDescent="0.25">
      <c r="A6" s="1">
        <v>44204</v>
      </c>
      <c r="B6" s="2">
        <v>4888</v>
      </c>
      <c r="C6" s="4">
        <f>(WMT_data[[#This Row],[Último]]/B5)-1</f>
        <v>0</v>
      </c>
    </row>
    <row r="7" spans="1:3" x14ac:dyDescent="0.25">
      <c r="A7" s="1">
        <v>44207</v>
      </c>
      <c r="B7" s="2">
        <v>4910</v>
      </c>
      <c r="C7" s="4">
        <f>(WMT_data[[#This Row],[Último]]/B6)-1</f>
        <v>4.5008183306056715E-3</v>
      </c>
    </row>
    <row r="8" spans="1:3" x14ac:dyDescent="0.25">
      <c r="A8" s="1">
        <v>44208</v>
      </c>
      <c r="B8" s="2">
        <v>4966</v>
      </c>
      <c r="C8" s="4">
        <f>(WMT_data[[#This Row],[Último]]/B7)-1</f>
        <v>1.140529531568224E-2</v>
      </c>
    </row>
    <row r="9" spans="1:3" x14ac:dyDescent="0.25">
      <c r="A9" s="1">
        <v>44209</v>
      </c>
      <c r="B9" s="2">
        <v>4915</v>
      </c>
      <c r="C9" s="4">
        <f>(WMT_data[[#This Row],[Último]]/B8)-1</f>
        <v>-1.0269834877164707E-2</v>
      </c>
    </row>
    <row r="10" spans="1:3" x14ac:dyDescent="0.25">
      <c r="A10" s="1">
        <v>44210</v>
      </c>
      <c r="B10" s="2">
        <v>4899</v>
      </c>
      <c r="C10" s="4">
        <f>(WMT_data[[#This Row],[Último]]/B9)-1</f>
        <v>-3.2553407934893253E-3</v>
      </c>
    </row>
    <row r="11" spans="1:3" x14ac:dyDescent="0.25">
      <c r="A11" s="1">
        <v>44211</v>
      </c>
      <c r="B11" s="2">
        <v>4821</v>
      </c>
      <c r="C11" s="4">
        <f>(WMT_data[[#This Row],[Último]]/B10)-1</f>
        <v>-1.5921616656460524E-2</v>
      </c>
    </row>
    <row r="12" spans="1:3" x14ac:dyDescent="0.25">
      <c r="A12" s="1">
        <v>44215</v>
      </c>
      <c r="B12" s="2">
        <v>4780</v>
      </c>
      <c r="C12" s="4">
        <f>(WMT_data[[#This Row],[Último]]/B11)-1</f>
        <v>-8.5044596556731467E-3</v>
      </c>
    </row>
    <row r="13" spans="1:3" x14ac:dyDescent="0.25">
      <c r="A13" s="1">
        <v>44216</v>
      </c>
      <c r="B13" s="2">
        <v>4850</v>
      </c>
      <c r="C13" s="4">
        <f>(WMT_data[[#This Row],[Último]]/B12)-1</f>
        <v>1.4644351464435212E-2</v>
      </c>
    </row>
    <row r="14" spans="1:3" x14ac:dyDescent="0.25">
      <c r="A14" s="1">
        <v>44217</v>
      </c>
      <c r="B14" s="2">
        <v>4828</v>
      </c>
      <c r="C14" s="4">
        <f>(WMT_data[[#This Row],[Último]]/B13)-1</f>
        <v>-4.5360824742267658E-3</v>
      </c>
    </row>
    <row r="15" spans="1:3" x14ac:dyDescent="0.25">
      <c r="A15" s="1">
        <v>44218</v>
      </c>
      <c r="B15" s="2">
        <v>4878</v>
      </c>
      <c r="C15" s="4">
        <f>(WMT_data[[#This Row],[Último]]/B14)-1</f>
        <v>1.0356255178127549E-2</v>
      </c>
    </row>
    <row r="16" spans="1:3" x14ac:dyDescent="0.25">
      <c r="A16" s="1">
        <v>44221</v>
      </c>
      <c r="B16" s="2">
        <v>4873</v>
      </c>
      <c r="C16" s="4">
        <f>(WMT_data[[#This Row],[Último]]/B15)-1</f>
        <v>-1.0250102501024871E-3</v>
      </c>
    </row>
    <row r="17" spans="1:3" x14ac:dyDescent="0.25">
      <c r="A17" s="1">
        <v>44222</v>
      </c>
      <c r="B17" s="2">
        <v>4917</v>
      </c>
      <c r="C17" s="4">
        <f>(WMT_data[[#This Row],[Último]]/B16)-1</f>
        <v>9.0293453724605843E-3</v>
      </c>
    </row>
    <row r="18" spans="1:3" x14ac:dyDescent="0.25">
      <c r="A18" s="1">
        <v>44223</v>
      </c>
      <c r="B18" s="2">
        <v>4795</v>
      </c>
      <c r="C18" s="4">
        <f>(WMT_data[[#This Row],[Último]]/B17)-1</f>
        <v>-2.481187716087041E-2</v>
      </c>
    </row>
    <row r="19" spans="1:3" x14ac:dyDescent="0.25">
      <c r="A19" s="1">
        <v>44224</v>
      </c>
      <c r="B19" s="2">
        <v>4792</v>
      </c>
      <c r="C19" s="4">
        <f>(WMT_data[[#This Row],[Último]]/B18)-1</f>
        <v>-6.2565172054218632E-4</v>
      </c>
    </row>
    <row r="20" spans="1:3" x14ac:dyDescent="0.25">
      <c r="A20" s="1">
        <v>44225</v>
      </c>
      <c r="B20" s="2">
        <v>4683</v>
      </c>
      <c r="C20" s="4">
        <f>(WMT_data[[#This Row],[Último]]/B19)-1</f>
        <v>-2.2746243739565908E-2</v>
      </c>
    </row>
    <row r="21" spans="1:3" x14ac:dyDescent="0.25">
      <c r="A21" s="1">
        <v>44228</v>
      </c>
      <c r="B21" s="2">
        <v>4642</v>
      </c>
      <c r="C21" s="4">
        <f>(WMT_data[[#This Row],[Último]]/B20)-1</f>
        <v>-8.7550715353406083E-3</v>
      </c>
    </row>
    <row r="22" spans="1:3" x14ac:dyDescent="0.25">
      <c r="A22" s="1">
        <v>44229</v>
      </c>
      <c r="B22" s="2">
        <v>4692</v>
      </c>
      <c r="C22" s="4">
        <f>(WMT_data[[#This Row],[Último]]/B21)-1</f>
        <v>1.077121930202507E-2</v>
      </c>
    </row>
    <row r="23" spans="1:3" x14ac:dyDescent="0.25">
      <c r="A23" s="1">
        <v>44230</v>
      </c>
      <c r="B23" s="2">
        <v>4707</v>
      </c>
      <c r="C23" s="4">
        <f>(WMT_data[[#This Row],[Último]]/B22)-1</f>
        <v>3.1969309462915874E-3</v>
      </c>
    </row>
    <row r="24" spans="1:3" x14ac:dyDescent="0.25">
      <c r="A24" s="1">
        <v>44231</v>
      </c>
      <c r="B24" s="2">
        <v>4751</v>
      </c>
      <c r="C24" s="4">
        <f>(WMT_data[[#This Row],[Último]]/B23)-1</f>
        <v>9.3477799022732011E-3</v>
      </c>
    </row>
    <row r="25" spans="1:3" x14ac:dyDescent="0.25">
      <c r="A25" s="1">
        <v>44232</v>
      </c>
      <c r="B25" s="2">
        <v>4812</v>
      </c>
      <c r="C25" s="4">
        <f>(WMT_data[[#This Row],[Último]]/B24)-1</f>
        <v>1.2839402231109132E-2</v>
      </c>
    </row>
    <row r="26" spans="1:3" x14ac:dyDescent="0.25">
      <c r="A26" s="1">
        <v>44235</v>
      </c>
      <c r="B26" s="2">
        <v>4834</v>
      </c>
      <c r="C26" s="4">
        <f>(WMT_data[[#This Row],[Último]]/B25)-1</f>
        <v>4.5719035743974068E-3</v>
      </c>
    </row>
    <row r="27" spans="1:3" x14ac:dyDescent="0.25">
      <c r="A27" s="1">
        <v>44236</v>
      </c>
      <c r="B27" s="2">
        <v>4861</v>
      </c>
      <c r="C27" s="4">
        <f>(WMT_data[[#This Row],[Último]]/B26)-1</f>
        <v>5.5854364915184362E-3</v>
      </c>
    </row>
    <row r="28" spans="1:3" x14ac:dyDescent="0.25">
      <c r="A28" s="1">
        <v>44237</v>
      </c>
      <c r="B28" s="2">
        <v>4804</v>
      </c>
      <c r="C28" s="4">
        <f>(WMT_data[[#This Row],[Último]]/B27)-1</f>
        <v>-1.1725982308167016E-2</v>
      </c>
    </row>
    <row r="29" spans="1:3" x14ac:dyDescent="0.25">
      <c r="A29" s="1">
        <v>44238</v>
      </c>
      <c r="B29" s="2">
        <v>4801</v>
      </c>
      <c r="C29" s="4">
        <f>(WMT_data[[#This Row],[Último]]/B28)-1</f>
        <v>-6.2447960033307215E-4</v>
      </c>
    </row>
    <row r="30" spans="1:3" x14ac:dyDescent="0.25">
      <c r="A30" s="1">
        <v>44239</v>
      </c>
      <c r="B30" s="2">
        <v>4816</v>
      </c>
      <c r="C30" s="4">
        <f>(WMT_data[[#This Row],[Último]]/B29)-1</f>
        <v>3.1243490939387719E-3</v>
      </c>
    </row>
    <row r="31" spans="1:3" x14ac:dyDescent="0.25">
      <c r="A31" s="1">
        <v>44243</v>
      </c>
      <c r="B31" s="2">
        <v>4855</v>
      </c>
      <c r="C31" s="4">
        <f>(WMT_data[[#This Row],[Último]]/B30)-1</f>
        <v>8.0980066445182075E-3</v>
      </c>
    </row>
    <row r="32" spans="1:3" x14ac:dyDescent="0.25">
      <c r="A32" s="1">
        <v>44244</v>
      </c>
      <c r="B32" s="2">
        <v>4907</v>
      </c>
      <c r="C32" s="4">
        <f>(WMT_data[[#This Row],[Último]]/B31)-1</f>
        <v>1.0710607621009283E-2</v>
      </c>
    </row>
    <row r="33" spans="1:3" x14ac:dyDescent="0.25">
      <c r="A33" s="1">
        <v>44245</v>
      </c>
      <c r="B33" s="2">
        <v>4589</v>
      </c>
      <c r="C33" s="4">
        <f>(WMT_data[[#This Row],[Último]]/B32)-1</f>
        <v>-6.480538006928882E-2</v>
      </c>
    </row>
    <row r="34" spans="1:3" x14ac:dyDescent="0.25">
      <c r="A34" s="1">
        <v>44246</v>
      </c>
      <c r="B34" s="2">
        <v>4611</v>
      </c>
      <c r="C34" s="4">
        <f>(WMT_data[[#This Row],[Último]]/B33)-1</f>
        <v>4.7940727827413543E-3</v>
      </c>
    </row>
    <row r="35" spans="1:3" x14ac:dyDescent="0.25">
      <c r="A35" s="1">
        <v>44249</v>
      </c>
      <c r="B35" s="2">
        <v>4590</v>
      </c>
      <c r="C35" s="4">
        <f>(WMT_data[[#This Row],[Último]]/B34)-1</f>
        <v>-4.5543266102797686E-3</v>
      </c>
    </row>
    <row r="36" spans="1:3" x14ac:dyDescent="0.25">
      <c r="A36" s="1">
        <v>44250</v>
      </c>
      <c r="B36" s="2">
        <v>4516</v>
      </c>
      <c r="C36" s="4">
        <f>(WMT_data[[#This Row],[Último]]/B35)-1</f>
        <v>-1.6122004357298492E-2</v>
      </c>
    </row>
    <row r="37" spans="1:3" x14ac:dyDescent="0.25">
      <c r="A37" s="1">
        <v>44251</v>
      </c>
      <c r="B37" s="2">
        <v>4440</v>
      </c>
      <c r="C37" s="4">
        <f>(WMT_data[[#This Row],[Último]]/B36)-1</f>
        <v>-1.6829052258635957E-2</v>
      </c>
    </row>
    <row r="38" spans="1:3" x14ac:dyDescent="0.25">
      <c r="A38" s="1">
        <v>44252</v>
      </c>
      <c r="B38" s="2">
        <v>4398</v>
      </c>
      <c r="C38" s="4">
        <f>(WMT_data[[#This Row],[Último]]/B37)-1</f>
        <v>-9.4594594594594739E-3</v>
      </c>
    </row>
    <row r="39" spans="1:3" x14ac:dyDescent="0.25">
      <c r="A39" s="1">
        <v>44253</v>
      </c>
      <c r="B39" s="2">
        <v>4331</v>
      </c>
      <c r="C39" s="4">
        <f>(WMT_data[[#This Row],[Último]]/B38)-1</f>
        <v>-1.5234197362437474E-2</v>
      </c>
    </row>
    <row r="40" spans="1:3" x14ac:dyDescent="0.25">
      <c r="A40" s="1">
        <v>44256</v>
      </c>
      <c r="B40" s="2">
        <v>4379</v>
      </c>
      <c r="C40" s="4">
        <f>(WMT_data[[#This Row],[Último]]/B39)-1</f>
        <v>1.1082890787347033E-2</v>
      </c>
    </row>
    <row r="41" spans="1:3" x14ac:dyDescent="0.25">
      <c r="A41" s="1">
        <v>44257</v>
      </c>
      <c r="B41" s="2">
        <v>4337</v>
      </c>
      <c r="C41" s="4">
        <f>(WMT_data[[#This Row],[Último]]/B40)-1</f>
        <v>-9.5912308746288755E-3</v>
      </c>
    </row>
    <row r="42" spans="1:3" x14ac:dyDescent="0.25">
      <c r="A42" s="1">
        <v>44258</v>
      </c>
      <c r="B42" s="2">
        <v>4253</v>
      </c>
      <c r="C42" s="4">
        <f>(WMT_data[[#This Row],[Último]]/B41)-1</f>
        <v>-1.9368226884943551E-2</v>
      </c>
    </row>
    <row r="43" spans="1:3" x14ac:dyDescent="0.25">
      <c r="A43" s="1">
        <v>44259</v>
      </c>
      <c r="B43" s="2">
        <v>4251</v>
      </c>
      <c r="C43" s="4">
        <f>(WMT_data[[#This Row],[Último]]/B42)-1</f>
        <v>-4.7025628967789501E-4</v>
      </c>
    </row>
    <row r="44" spans="1:3" x14ac:dyDescent="0.25">
      <c r="A44" s="1">
        <v>44260</v>
      </c>
      <c r="B44" s="2">
        <v>4304</v>
      </c>
      <c r="C44" s="4">
        <f>(WMT_data[[#This Row],[Último]]/B43)-1</f>
        <v>1.2467654669489514E-2</v>
      </c>
    </row>
    <row r="45" spans="1:3" x14ac:dyDescent="0.25">
      <c r="A45" s="1">
        <v>44263</v>
      </c>
      <c r="B45" s="2">
        <v>4263</v>
      </c>
      <c r="C45" s="4">
        <f>(WMT_data[[#This Row],[Último]]/B44)-1</f>
        <v>-9.526022304832682E-3</v>
      </c>
    </row>
    <row r="46" spans="1:3" x14ac:dyDescent="0.25">
      <c r="A46" s="1">
        <v>44264</v>
      </c>
      <c r="B46" s="2">
        <v>4296</v>
      </c>
      <c r="C46" s="4">
        <f>(WMT_data[[#This Row],[Último]]/B45)-1</f>
        <v>7.7410274454610128E-3</v>
      </c>
    </row>
    <row r="47" spans="1:3" x14ac:dyDescent="0.25">
      <c r="A47" s="1">
        <v>44265</v>
      </c>
      <c r="B47" s="2">
        <v>4406</v>
      </c>
      <c r="C47" s="4">
        <f>(WMT_data[[#This Row],[Último]]/B46)-1</f>
        <v>2.5605214152700118E-2</v>
      </c>
    </row>
    <row r="48" spans="1:3" x14ac:dyDescent="0.25">
      <c r="A48" s="1">
        <v>44266</v>
      </c>
      <c r="B48" s="2">
        <v>4404</v>
      </c>
      <c r="C48" s="4">
        <f>(WMT_data[[#This Row],[Último]]/B47)-1</f>
        <v>-4.5392646391284597E-4</v>
      </c>
    </row>
    <row r="49" spans="1:3" x14ac:dyDescent="0.25">
      <c r="A49" s="1">
        <v>44267</v>
      </c>
      <c r="B49" s="2">
        <v>4471</v>
      </c>
      <c r="C49" s="4">
        <f>(WMT_data[[#This Row],[Último]]/B48)-1</f>
        <v>1.5213442325158866E-2</v>
      </c>
    </row>
    <row r="50" spans="1:3" x14ac:dyDescent="0.25">
      <c r="A50" s="1">
        <v>44270</v>
      </c>
      <c r="B50" s="2">
        <v>4448</v>
      </c>
      <c r="C50" s="4">
        <f>(WMT_data[[#This Row],[Último]]/B49)-1</f>
        <v>-5.1442630284053159E-3</v>
      </c>
    </row>
    <row r="51" spans="1:3" x14ac:dyDescent="0.25">
      <c r="A51" s="1">
        <v>44271</v>
      </c>
      <c r="B51" s="2">
        <v>4446</v>
      </c>
      <c r="C51" s="4">
        <f>(WMT_data[[#This Row],[Último]]/B50)-1</f>
        <v>-4.4964028776983689E-4</v>
      </c>
    </row>
    <row r="52" spans="1:3" x14ac:dyDescent="0.25">
      <c r="A52" s="1">
        <v>44272</v>
      </c>
      <c r="B52" s="2">
        <v>4409</v>
      </c>
      <c r="C52" s="4">
        <f>(WMT_data[[#This Row],[Último]]/B51)-1</f>
        <v>-8.3220872694557135E-3</v>
      </c>
    </row>
    <row r="53" spans="1:3" x14ac:dyDescent="0.25">
      <c r="A53" s="1">
        <v>44273</v>
      </c>
      <c r="B53" s="2">
        <v>4334</v>
      </c>
      <c r="C53" s="4">
        <f>(WMT_data[[#This Row],[Último]]/B52)-1</f>
        <v>-1.7010660013608514E-2</v>
      </c>
    </row>
    <row r="54" spans="1:3" x14ac:dyDescent="0.25">
      <c r="A54" s="1">
        <v>44274</v>
      </c>
      <c r="B54" s="2">
        <v>4391</v>
      </c>
      <c r="C54" s="4">
        <f>(WMT_data[[#This Row],[Último]]/B53)-1</f>
        <v>1.3151822796492851E-2</v>
      </c>
    </row>
    <row r="55" spans="1:3" x14ac:dyDescent="0.25">
      <c r="A55" s="1">
        <v>44277</v>
      </c>
      <c r="B55" s="2">
        <v>4412</v>
      </c>
      <c r="C55" s="4">
        <f>(WMT_data[[#This Row],[Último]]/B54)-1</f>
        <v>4.7825096788887134E-3</v>
      </c>
    </row>
    <row r="56" spans="1:3" x14ac:dyDescent="0.25">
      <c r="A56" s="1">
        <v>44278</v>
      </c>
      <c r="B56" s="2">
        <v>4465</v>
      </c>
      <c r="C56" s="4">
        <f>(WMT_data[[#This Row],[Último]]/B55)-1</f>
        <v>1.201269265639171E-2</v>
      </c>
    </row>
    <row r="57" spans="1:3" x14ac:dyDescent="0.25">
      <c r="A57" s="1">
        <v>44279</v>
      </c>
      <c r="B57" s="2">
        <v>4437</v>
      </c>
      <c r="C57" s="4">
        <f>(WMT_data[[#This Row],[Último]]/B56)-1</f>
        <v>-6.2709966405375406E-3</v>
      </c>
    </row>
    <row r="58" spans="1:3" x14ac:dyDescent="0.25">
      <c r="A58" s="1">
        <v>44280</v>
      </c>
      <c r="B58" s="2">
        <v>4467</v>
      </c>
      <c r="C58" s="4">
        <f>(WMT_data[[#This Row],[Último]]/B57)-1</f>
        <v>6.7613252197431528E-3</v>
      </c>
    </row>
    <row r="59" spans="1:3" x14ac:dyDescent="0.25">
      <c r="A59" s="1">
        <v>44281</v>
      </c>
      <c r="B59" s="2">
        <v>4504</v>
      </c>
      <c r="C59" s="4">
        <f>(WMT_data[[#This Row],[Último]]/B58)-1</f>
        <v>8.2829639579136138E-3</v>
      </c>
    </row>
    <row r="60" spans="1:3" x14ac:dyDescent="0.25">
      <c r="A60" s="1">
        <v>44284</v>
      </c>
      <c r="B60" s="2">
        <v>4556</v>
      </c>
      <c r="C60" s="4">
        <f>(WMT_data[[#This Row],[Último]]/B59)-1</f>
        <v>1.1545293072824148E-2</v>
      </c>
    </row>
    <row r="61" spans="1:3" x14ac:dyDescent="0.25">
      <c r="A61" s="1">
        <v>44285</v>
      </c>
      <c r="B61" s="2">
        <v>4525</v>
      </c>
      <c r="C61" s="4">
        <f>(WMT_data[[#This Row],[Último]]/B60)-1</f>
        <v>-6.8042142230025915E-3</v>
      </c>
    </row>
    <row r="62" spans="1:3" x14ac:dyDescent="0.25">
      <c r="A62" s="1">
        <v>44286</v>
      </c>
      <c r="B62" s="2">
        <v>4528</v>
      </c>
      <c r="C62" s="4">
        <f>(WMT_data[[#This Row],[Último]]/B61)-1</f>
        <v>6.6298342541437627E-4</v>
      </c>
    </row>
    <row r="63" spans="1:3" x14ac:dyDescent="0.25">
      <c r="A63" s="1">
        <v>44287</v>
      </c>
      <c r="B63" s="2">
        <v>4521</v>
      </c>
      <c r="C63" s="4">
        <f>(WMT_data[[#This Row],[Último]]/B62)-1</f>
        <v>-1.5459363957597283E-3</v>
      </c>
    </row>
    <row r="64" spans="1:3" x14ac:dyDescent="0.25">
      <c r="A64" s="1">
        <v>44291</v>
      </c>
      <c r="B64" s="2">
        <v>4648</v>
      </c>
      <c r="C64" s="4">
        <f>(WMT_data[[#This Row],[Último]]/B63)-1</f>
        <v>2.8091130280911258E-2</v>
      </c>
    </row>
    <row r="65" spans="1:3" x14ac:dyDescent="0.25">
      <c r="A65" s="1">
        <v>44292</v>
      </c>
      <c r="B65" s="2">
        <v>4670</v>
      </c>
      <c r="C65" s="4">
        <f>(WMT_data[[#This Row],[Último]]/B64)-1</f>
        <v>4.7332185886401756E-3</v>
      </c>
    </row>
    <row r="66" spans="1:3" x14ac:dyDescent="0.25">
      <c r="A66" s="1">
        <v>44293</v>
      </c>
      <c r="B66" s="2">
        <v>4660</v>
      </c>
      <c r="C66" s="4">
        <f>(WMT_data[[#This Row],[Último]]/B65)-1</f>
        <v>-2.1413276231263545E-3</v>
      </c>
    </row>
    <row r="67" spans="1:3" x14ac:dyDescent="0.25">
      <c r="A67" s="1">
        <v>44294</v>
      </c>
      <c r="B67" s="2">
        <v>4657</v>
      </c>
      <c r="C67" s="4">
        <f>(WMT_data[[#This Row],[Último]]/B66)-1</f>
        <v>-6.4377682403438108E-4</v>
      </c>
    </row>
    <row r="68" spans="1:3" x14ac:dyDescent="0.25">
      <c r="A68" s="1">
        <v>44295</v>
      </c>
      <c r="B68" s="2">
        <v>4659</v>
      </c>
      <c r="C68" s="4">
        <f>(WMT_data[[#This Row],[Último]]/B67)-1</f>
        <v>4.2946102641194805E-4</v>
      </c>
    </row>
    <row r="69" spans="1:3" x14ac:dyDescent="0.25">
      <c r="A69" s="1">
        <v>44298</v>
      </c>
      <c r="B69" s="2">
        <v>4660</v>
      </c>
      <c r="C69" s="4">
        <f>(WMT_data[[#This Row],[Último]]/B68)-1</f>
        <v>2.1463833440660274E-4</v>
      </c>
    </row>
    <row r="70" spans="1:3" x14ac:dyDescent="0.25">
      <c r="A70" s="1">
        <v>44299</v>
      </c>
      <c r="B70" s="2">
        <v>4646</v>
      </c>
      <c r="C70" s="4">
        <f>(WMT_data[[#This Row],[Último]]/B69)-1</f>
        <v>-3.0042918454935563E-3</v>
      </c>
    </row>
    <row r="71" spans="1:3" x14ac:dyDescent="0.25">
      <c r="A71" s="1">
        <v>44300</v>
      </c>
      <c r="B71" s="2">
        <v>4644</v>
      </c>
      <c r="C71" s="4">
        <f>(WMT_data[[#This Row],[Último]]/B70)-1</f>
        <v>-4.3047783039174004E-4</v>
      </c>
    </row>
    <row r="72" spans="1:3" x14ac:dyDescent="0.25">
      <c r="A72" s="1">
        <v>44301</v>
      </c>
      <c r="B72" s="2">
        <v>4672</v>
      </c>
      <c r="C72" s="4">
        <f>(WMT_data[[#This Row],[Último]]/B71)-1</f>
        <v>6.0292850990526503E-3</v>
      </c>
    </row>
    <row r="73" spans="1:3" x14ac:dyDescent="0.25">
      <c r="A73" s="1">
        <v>44302</v>
      </c>
      <c r="B73" s="2">
        <v>4687</v>
      </c>
      <c r="C73" s="4">
        <f>(WMT_data[[#This Row],[Último]]/B72)-1</f>
        <v>3.2106164383560731E-3</v>
      </c>
    </row>
    <row r="74" spans="1:3" x14ac:dyDescent="0.25">
      <c r="A74" s="1">
        <v>44305</v>
      </c>
      <c r="B74" s="2">
        <v>4657</v>
      </c>
      <c r="C74" s="4">
        <f>(WMT_data[[#This Row],[Último]]/B73)-1</f>
        <v>-6.4006827394922361E-3</v>
      </c>
    </row>
    <row r="75" spans="1:3" x14ac:dyDescent="0.25">
      <c r="A75" s="1">
        <v>44306</v>
      </c>
      <c r="B75" s="2">
        <v>4693</v>
      </c>
      <c r="C75" s="4">
        <f>(WMT_data[[#This Row],[Último]]/B74)-1</f>
        <v>7.7302984754132886E-3</v>
      </c>
    </row>
    <row r="76" spans="1:3" x14ac:dyDescent="0.25">
      <c r="A76" s="1">
        <v>44307</v>
      </c>
      <c r="B76" s="2">
        <v>4707</v>
      </c>
      <c r="C76" s="4">
        <f>(WMT_data[[#This Row],[Último]]/B75)-1</f>
        <v>2.983166418069505E-3</v>
      </c>
    </row>
    <row r="77" spans="1:3" x14ac:dyDescent="0.25">
      <c r="A77" s="1">
        <v>44308</v>
      </c>
      <c r="B77" s="2">
        <v>4656</v>
      </c>
      <c r="C77" s="4">
        <f>(WMT_data[[#This Row],[Último]]/B76)-1</f>
        <v>-1.0834926704907599E-2</v>
      </c>
    </row>
    <row r="78" spans="1:3" x14ac:dyDescent="0.25">
      <c r="A78" s="1">
        <v>44309</v>
      </c>
      <c r="B78" s="2">
        <v>4663</v>
      </c>
      <c r="C78" s="4">
        <f>(WMT_data[[#This Row],[Último]]/B77)-1</f>
        <v>1.5034364261168331E-3</v>
      </c>
    </row>
    <row r="79" spans="1:3" x14ac:dyDescent="0.25">
      <c r="A79" s="1">
        <v>44312</v>
      </c>
      <c r="B79" s="2">
        <v>4597</v>
      </c>
      <c r="C79" s="4">
        <f>(WMT_data[[#This Row],[Último]]/B78)-1</f>
        <v>-1.4153978125670208E-2</v>
      </c>
    </row>
    <row r="80" spans="1:3" x14ac:dyDescent="0.25">
      <c r="A80" s="1">
        <v>44313</v>
      </c>
      <c r="B80" s="2">
        <v>4613</v>
      </c>
      <c r="C80" s="4">
        <f>(WMT_data[[#This Row],[Último]]/B79)-1</f>
        <v>3.4805307809440134E-3</v>
      </c>
    </row>
    <row r="81" spans="1:3" x14ac:dyDescent="0.25">
      <c r="A81" s="1">
        <v>44314</v>
      </c>
      <c r="B81" s="2">
        <v>4596</v>
      </c>
      <c r="C81" s="4">
        <f>(WMT_data[[#This Row],[Último]]/B80)-1</f>
        <v>-3.6852373726424803E-3</v>
      </c>
    </row>
    <row r="82" spans="1:3" x14ac:dyDescent="0.25">
      <c r="A82" s="1">
        <v>44315</v>
      </c>
      <c r="B82" s="2">
        <v>4654</v>
      </c>
      <c r="C82" s="4">
        <f>(WMT_data[[#This Row],[Último]]/B81)-1</f>
        <v>1.2619669277632806E-2</v>
      </c>
    </row>
    <row r="83" spans="1:3" x14ac:dyDescent="0.25">
      <c r="A83" s="1">
        <v>44316</v>
      </c>
      <c r="B83" s="2">
        <v>4664</v>
      </c>
      <c r="C83" s="4">
        <f>(WMT_data[[#This Row],[Último]]/B82)-1</f>
        <v>2.1486892995272733E-3</v>
      </c>
    </row>
    <row r="84" spans="1:3" x14ac:dyDescent="0.25">
      <c r="A84" s="1">
        <v>44319</v>
      </c>
      <c r="B84" s="2">
        <v>4737</v>
      </c>
      <c r="C84" s="4">
        <f>(WMT_data[[#This Row],[Último]]/B83)-1</f>
        <v>1.5651801029159529E-2</v>
      </c>
    </row>
    <row r="85" spans="1:3" x14ac:dyDescent="0.25">
      <c r="A85" s="1">
        <v>44320</v>
      </c>
      <c r="B85" s="2">
        <v>4691</v>
      </c>
      <c r="C85" s="4">
        <f>(WMT_data[[#This Row],[Último]]/B84)-1</f>
        <v>-9.7107874181971976E-3</v>
      </c>
    </row>
    <row r="86" spans="1:3" x14ac:dyDescent="0.25">
      <c r="A86" s="1">
        <v>44321</v>
      </c>
      <c r="B86" s="2">
        <v>4687</v>
      </c>
      <c r="C86" s="4">
        <f>(WMT_data[[#This Row],[Último]]/B85)-1</f>
        <v>-8.5269665316567433E-4</v>
      </c>
    </row>
    <row r="87" spans="1:3" x14ac:dyDescent="0.25">
      <c r="A87" s="1">
        <v>44322</v>
      </c>
      <c r="B87" s="2">
        <v>4702</v>
      </c>
      <c r="C87" s="4">
        <f>(WMT_data[[#This Row],[Último]]/B86)-1</f>
        <v>3.200341369746118E-3</v>
      </c>
    </row>
    <row r="88" spans="1:3" x14ac:dyDescent="0.25">
      <c r="A88" s="1">
        <v>44323</v>
      </c>
      <c r="B88" s="2">
        <v>4673</v>
      </c>
      <c r="C88" s="4">
        <f>(WMT_data[[#This Row],[Último]]/B87)-1</f>
        <v>-6.1675882603147159E-3</v>
      </c>
    </row>
    <row r="89" spans="1:3" x14ac:dyDescent="0.25">
      <c r="A89" s="1">
        <v>44326</v>
      </c>
      <c r="B89" s="2">
        <v>4694</v>
      </c>
      <c r="C89" s="4">
        <f>(WMT_data[[#This Row],[Último]]/B88)-1</f>
        <v>4.4939011341751378E-3</v>
      </c>
    </row>
    <row r="90" spans="1:3" x14ac:dyDescent="0.25">
      <c r="A90" s="1">
        <v>44327</v>
      </c>
      <c r="B90" s="2">
        <v>4652</v>
      </c>
      <c r="C90" s="4">
        <f>(WMT_data[[#This Row],[Último]]/B89)-1</f>
        <v>-8.9475926714954745E-3</v>
      </c>
    </row>
    <row r="91" spans="1:3" x14ac:dyDescent="0.25">
      <c r="A91" s="1">
        <v>44328</v>
      </c>
      <c r="B91" s="2">
        <v>4531</v>
      </c>
      <c r="C91" s="4">
        <f>(WMT_data[[#This Row],[Último]]/B90)-1</f>
        <v>-2.6010318142734357E-2</v>
      </c>
    </row>
    <row r="92" spans="1:3" x14ac:dyDescent="0.25">
      <c r="A92" s="1">
        <v>44329</v>
      </c>
      <c r="B92" s="2">
        <v>4608</v>
      </c>
      <c r="C92" s="4">
        <f>(WMT_data[[#This Row],[Último]]/B91)-1</f>
        <v>1.6994041050540698E-2</v>
      </c>
    </row>
    <row r="93" spans="1:3" x14ac:dyDescent="0.25">
      <c r="A93" s="1">
        <v>44330</v>
      </c>
      <c r="B93" s="2">
        <v>4651</v>
      </c>
      <c r="C93" s="4">
        <f>(WMT_data[[#This Row],[Último]]/B92)-1</f>
        <v>9.3315972222223209E-3</v>
      </c>
    </row>
    <row r="94" spans="1:3" x14ac:dyDescent="0.25">
      <c r="A94" s="1">
        <v>44333</v>
      </c>
      <c r="B94" s="2">
        <v>4630</v>
      </c>
      <c r="C94" s="4">
        <f>(WMT_data[[#This Row],[Último]]/B93)-1</f>
        <v>-4.5151580305310413E-3</v>
      </c>
    </row>
    <row r="95" spans="1:3" x14ac:dyDescent="0.25">
      <c r="A95" s="1">
        <v>44334</v>
      </c>
      <c r="B95" s="2">
        <v>4730</v>
      </c>
      <c r="C95" s="4">
        <f>(WMT_data[[#This Row],[Último]]/B94)-1</f>
        <v>2.1598272138228847E-2</v>
      </c>
    </row>
    <row r="96" spans="1:3" x14ac:dyDescent="0.25">
      <c r="A96" s="1">
        <v>44335</v>
      </c>
      <c r="B96" s="2">
        <v>4731</v>
      </c>
      <c r="C96" s="4">
        <f>(WMT_data[[#This Row],[Último]]/B95)-1</f>
        <v>2.1141649048628253E-4</v>
      </c>
    </row>
    <row r="97" spans="1:3" x14ac:dyDescent="0.25">
      <c r="A97" s="1">
        <v>44336</v>
      </c>
      <c r="B97" s="2">
        <v>4747</v>
      </c>
      <c r="C97" s="4">
        <f>(WMT_data[[#This Row],[Último]]/B96)-1</f>
        <v>3.3819488480235638E-3</v>
      </c>
    </row>
    <row r="98" spans="1:3" x14ac:dyDescent="0.25">
      <c r="A98" s="1">
        <v>44337</v>
      </c>
      <c r="B98" s="2">
        <v>4725</v>
      </c>
      <c r="C98" s="4">
        <f>(WMT_data[[#This Row],[Último]]/B97)-1</f>
        <v>-4.6345060037918939E-3</v>
      </c>
    </row>
    <row r="99" spans="1:3" x14ac:dyDescent="0.25">
      <c r="A99" s="1">
        <v>44340</v>
      </c>
      <c r="B99" s="2">
        <v>4725</v>
      </c>
      <c r="C99" s="4">
        <f>(WMT_data[[#This Row],[Último]]/B98)-1</f>
        <v>0</v>
      </c>
    </row>
    <row r="100" spans="1:3" x14ac:dyDescent="0.25">
      <c r="A100" s="1">
        <v>44341</v>
      </c>
      <c r="B100" s="2">
        <v>4745</v>
      </c>
      <c r="C100" s="4">
        <f>(WMT_data[[#This Row],[Último]]/B99)-1</f>
        <v>4.2328042328041438E-3</v>
      </c>
    </row>
    <row r="101" spans="1:3" x14ac:dyDescent="0.25">
      <c r="A101" s="1">
        <v>44342</v>
      </c>
      <c r="B101" s="2">
        <v>4739</v>
      </c>
      <c r="C101" s="4">
        <f>(WMT_data[[#This Row],[Último]]/B100)-1</f>
        <v>-1.2644889357218414E-3</v>
      </c>
    </row>
    <row r="102" spans="1:3" x14ac:dyDescent="0.25">
      <c r="A102" s="1">
        <v>44343</v>
      </c>
      <c r="B102" s="2">
        <v>4723</v>
      </c>
      <c r="C102" s="4">
        <f>(WMT_data[[#This Row],[Último]]/B101)-1</f>
        <v>-3.3762397130195909E-3</v>
      </c>
    </row>
    <row r="103" spans="1:3" x14ac:dyDescent="0.25">
      <c r="A103" s="1">
        <v>44344</v>
      </c>
      <c r="B103" s="2">
        <v>4734</v>
      </c>
      <c r="C103" s="4">
        <f>(WMT_data[[#This Row],[Último]]/B102)-1</f>
        <v>2.3290281600678586E-3</v>
      </c>
    </row>
    <row r="104" spans="1:3" x14ac:dyDescent="0.25">
      <c r="A104" s="1">
        <v>44348</v>
      </c>
      <c r="B104" s="2">
        <v>4722</v>
      </c>
      <c r="C104" s="4">
        <f>(WMT_data[[#This Row],[Último]]/B103)-1</f>
        <v>-2.5348542458808465E-3</v>
      </c>
    </row>
    <row r="105" spans="1:3" x14ac:dyDescent="0.25">
      <c r="A105" s="1">
        <v>44349</v>
      </c>
      <c r="B105" s="2">
        <v>4712</v>
      </c>
      <c r="C105" s="4">
        <f>(WMT_data[[#This Row],[Último]]/B104)-1</f>
        <v>-2.1177467174925413E-3</v>
      </c>
    </row>
    <row r="106" spans="1:3" x14ac:dyDescent="0.25">
      <c r="A106" s="1">
        <v>44350</v>
      </c>
      <c r="B106" s="2">
        <v>4720</v>
      </c>
      <c r="C106" s="4">
        <f>(WMT_data[[#This Row],[Último]]/B105)-1</f>
        <v>1.6977928692698541E-3</v>
      </c>
    </row>
    <row r="107" spans="1:3" x14ac:dyDescent="0.25">
      <c r="A107" s="1">
        <v>44351</v>
      </c>
      <c r="B107" s="2">
        <v>4728</v>
      </c>
      <c r="C107" s="4">
        <f>(WMT_data[[#This Row],[Último]]/B106)-1</f>
        <v>1.6949152542373724E-3</v>
      </c>
    </row>
    <row r="108" spans="1:3" x14ac:dyDescent="0.25">
      <c r="A108" s="1">
        <v>44354</v>
      </c>
      <c r="B108" s="2">
        <v>4697</v>
      </c>
      <c r="C108" s="4">
        <f>(WMT_data[[#This Row],[Último]]/B107)-1</f>
        <v>-6.556683587140455E-3</v>
      </c>
    </row>
    <row r="109" spans="1:3" x14ac:dyDescent="0.25">
      <c r="A109" s="1">
        <v>44355</v>
      </c>
      <c r="B109" s="2">
        <v>4661</v>
      </c>
      <c r="C109" s="4">
        <f>(WMT_data[[#This Row],[Último]]/B108)-1</f>
        <v>-7.6644666808600714E-3</v>
      </c>
    </row>
    <row r="110" spans="1:3" x14ac:dyDescent="0.25">
      <c r="A110" s="1">
        <v>44356</v>
      </c>
      <c r="B110" s="2">
        <v>4636</v>
      </c>
      <c r="C110" s="4">
        <f>(WMT_data[[#This Row],[Último]]/B109)-1</f>
        <v>-5.3636558678394897E-3</v>
      </c>
    </row>
    <row r="111" spans="1:3" x14ac:dyDescent="0.25">
      <c r="A111" s="1">
        <v>44357</v>
      </c>
      <c r="B111" s="2">
        <v>4663</v>
      </c>
      <c r="C111" s="4">
        <f>(WMT_data[[#This Row],[Último]]/B110)-1</f>
        <v>5.8239861949955785E-3</v>
      </c>
    </row>
    <row r="112" spans="1:3" x14ac:dyDescent="0.25">
      <c r="A112" s="1">
        <v>44358</v>
      </c>
      <c r="B112" s="2">
        <v>4692</v>
      </c>
      <c r="C112" s="4">
        <f>(WMT_data[[#This Row],[Último]]/B111)-1</f>
        <v>6.2191722067339583E-3</v>
      </c>
    </row>
    <row r="113" spans="1:3" x14ac:dyDescent="0.25">
      <c r="A113" s="1">
        <v>44361</v>
      </c>
      <c r="B113" s="2">
        <v>4685</v>
      </c>
      <c r="C113" s="4">
        <f>(WMT_data[[#This Row],[Último]]/B112)-1</f>
        <v>-1.4919011082693556E-3</v>
      </c>
    </row>
    <row r="114" spans="1:3" x14ac:dyDescent="0.25">
      <c r="A114" s="1">
        <v>44362</v>
      </c>
      <c r="B114" s="2">
        <v>4667</v>
      </c>
      <c r="C114" s="4">
        <f>(WMT_data[[#This Row],[Último]]/B113)-1</f>
        <v>-3.8420490928494644E-3</v>
      </c>
    </row>
    <row r="115" spans="1:3" x14ac:dyDescent="0.25">
      <c r="A115" s="1">
        <v>44363</v>
      </c>
      <c r="B115" s="2">
        <v>4572</v>
      </c>
      <c r="C115" s="4">
        <f>(WMT_data[[#This Row],[Último]]/B114)-1</f>
        <v>-2.0355688879365785E-2</v>
      </c>
    </row>
    <row r="116" spans="1:3" x14ac:dyDescent="0.25">
      <c r="A116" s="1">
        <v>44364</v>
      </c>
      <c r="B116" s="2">
        <v>4591</v>
      </c>
      <c r="C116" s="4">
        <f>(WMT_data[[#This Row],[Último]]/B115)-1</f>
        <v>4.1557305336832329E-3</v>
      </c>
    </row>
    <row r="117" spans="1:3" x14ac:dyDescent="0.25">
      <c r="A117" s="1">
        <v>44365</v>
      </c>
      <c r="B117" s="2">
        <v>4506</v>
      </c>
      <c r="C117" s="4">
        <f>(WMT_data[[#This Row],[Último]]/B116)-1</f>
        <v>-1.8514484861685943E-2</v>
      </c>
    </row>
    <row r="118" spans="1:3" x14ac:dyDescent="0.25">
      <c r="A118" s="1">
        <v>44368</v>
      </c>
      <c r="B118" s="2">
        <v>4547</v>
      </c>
      <c r="C118" s="4">
        <f>(WMT_data[[#This Row],[Último]]/B117)-1</f>
        <v>9.0989791389257668E-3</v>
      </c>
    </row>
    <row r="119" spans="1:3" x14ac:dyDescent="0.25">
      <c r="A119" s="1">
        <v>44369</v>
      </c>
      <c r="B119" s="2">
        <v>4568</v>
      </c>
      <c r="C119" s="4">
        <f>(WMT_data[[#This Row],[Último]]/B118)-1</f>
        <v>4.6184297338904834E-3</v>
      </c>
    </row>
    <row r="120" spans="1:3" x14ac:dyDescent="0.25">
      <c r="A120" s="1">
        <v>44370</v>
      </c>
      <c r="B120" s="2">
        <v>4532</v>
      </c>
      <c r="C120" s="4">
        <f>(WMT_data[[#This Row],[Último]]/B119)-1</f>
        <v>-7.8809106830122211E-3</v>
      </c>
    </row>
    <row r="121" spans="1:3" x14ac:dyDescent="0.25">
      <c r="A121" s="1">
        <v>44371</v>
      </c>
      <c r="B121" s="2">
        <v>4564</v>
      </c>
      <c r="C121" s="4">
        <f>(WMT_data[[#This Row],[Último]]/B120)-1</f>
        <v>7.0609002647836761E-3</v>
      </c>
    </row>
    <row r="122" spans="1:3" x14ac:dyDescent="0.25">
      <c r="A122" s="1">
        <v>44372</v>
      </c>
      <c r="B122" s="2">
        <v>4618</v>
      </c>
      <c r="C122" s="4">
        <f>(WMT_data[[#This Row],[Último]]/B121)-1</f>
        <v>1.1831726555652899E-2</v>
      </c>
    </row>
    <row r="123" spans="1:3" x14ac:dyDescent="0.25">
      <c r="A123" s="1">
        <v>44375</v>
      </c>
      <c r="B123" s="2">
        <v>4603</v>
      </c>
      <c r="C123" s="4">
        <f>(WMT_data[[#This Row],[Último]]/B122)-1</f>
        <v>-3.2481593763533656E-3</v>
      </c>
    </row>
    <row r="124" spans="1:3" x14ac:dyDescent="0.25">
      <c r="A124" s="1">
        <v>44376</v>
      </c>
      <c r="B124" s="2">
        <v>4577</v>
      </c>
      <c r="C124" s="4">
        <f>(WMT_data[[#This Row],[Último]]/B123)-1</f>
        <v>-5.6484901151423461E-3</v>
      </c>
    </row>
    <row r="125" spans="1:3" x14ac:dyDescent="0.25">
      <c r="A125" s="1">
        <v>44377</v>
      </c>
      <c r="B125" s="2">
        <v>4701</v>
      </c>
      <c r="C125" s="4">
        <f>(WMT_data[[#This Row],[Último]]/B124)-1</f>
        <v>2.7091981647367369E-2</v>
      </c>
    </row>
    <row r="126" spans="1:3" x14ac:dyDescent="0.25">
      <c r="A126" s="1">
        <v>44378</v>
      </c>
      <c r="B126" s="2">
        <v>4644</v>
      </c>
      <c r="C126" s="4">
        <f>(WMT_data[[#This Row],[Último]]/B125)-1</f>
        <v>-1.2125079770261671E-2</v>
      </c>
    </row>
    <row r="127" spans="1:3" x14ac:dyDescent="0.25">
      <c r="A127" s="1">
        <v>44379</v>
      </c>
      <c r="B127" s="2">
        <v>4670</v>
      </c>
      <c r="C127" s="4">
        <f>(WMT_data[[#This Row],[Último]]/B126)-1</f>
        <v>5.5986218776915564E-3</v>
      </c>
    </row>
    <row r="128" spans="1:3" x14ac:dyDescent="0.25">
      <c r="A128" s="1">
        <v>44383</v>
      </c>
      <c r="B128" s="2">
        <v>4665</v>
      </c>
      <c r="C128" s="4">
        <f>(WMT_data[[#This Row],[Último]]/B127)-1</f>
        <v>-1.0706638115631772E-3</v>
      </c>
    </row>
    <row r="129" spans="1:3" x14ac:dyDescent="0.25">
      <c r="A129" s="1">
        <v>44384</v>
      </c>
      <c r="B129" s="2">
        <v>4657</v>
      </c>
      <c r="C129" s="4">
        <f>(WMT_data[[#This Row],[Último]]/B128)-1</f>
        <v>-1.7148981779206984E-3</v>
      </c>
    </row>
    <row r="130" spans="1:3" x14ac:dyDescent="0.25">
      <c r="A130" s="1">
        <v>44385</v>
      </c>
      <c r="B130" s="2">
        <v>4653</v>
      </c>
      <c r="C130" s="4">
        <f>(WMT_data[[#This Row],[Último]]/B129)-1</f>
        <v>-8.5892205282367406E-4</v>
      </c>
    </row>
    <row r="131" spans="1:3" x14ac:dyDescent="0.25">
      <c r="A131" s="1">
        <v>44386</v>
      </c>
      <c r="B131" s="2">
        <v>4677</v>
      </c>
      <c r="C131" s="4">
        <f>(WMT_data[[#This Row],[Último]]/B130)-1</f>
        <v>5.1579626047710825E-3</v>
      </c>
    </row>
    <row r="132" spans="1:3" x14ac:dyDescent="0.25">
      <c r="A132" s="1">
        <v>44389</v>
      </c>
      <c r="B132" s="2">
        <v>4668</v>
      </c>
      <c r="C132" s="4">
        <f>(WMT_data[[#This Row],[Último]]/B131)-1</f>
        <v>-1.9243104554201862E-3</v>
      </c>
    </row>
    <row r="133" spans="1:3" x14ac:dyDescent="0.25">
      <c r="A133" s="1">
        <v>44390</v>
      </c>
      <c r="B133" s="2">
        <v>4686</v>
      </c>
      <c r="C133" s="4">
        <f>(WMT_data[[#This Row],[Último]]/B132)-1</f>
        <v>3.8560411311054921E-3</v>
      </c>
    </row>
    <row r="134" spans="1:3" x14ac:dyDescent="0.25">
      <c r="A134" s="1">
        <v>44391</v>
      </c>
      <c r="B134" s="2">
        <v>4718</v>
      </c>
      <c r="C134" s="4">
        <f>(WMT_data[[#This Row],[Último]]/B133)-1</f>
        <v>6.8288518992745129E-3</v>
      </c>
    </row>
    <row r="135" spans="1:3" x14ac:dyDescent="0.25">
      <c r="A135" s="1">
        <v>44392</v>
      </c>
      <c r="B135" s="2">
        <v>4722</v>
      </c>
      <c r="C135" s="4">
        <f>(WMT_data[[#This Row],[Último]]/B134)-1</f>
        <v>8.4781687155577323E-4</v>
      </c>
    </row>
    <row r="136" spans="1:3" x14ac:dyDescent="0.25">
      <c r="A136" s="1">
        <v>44393</v>
      </c>
      <c r="B136" s="2">
        <v>4719</v>
      </c>
      <c r="C136" s="4">
        <f>(WMT_data[[#This Row],[Último]]/B135)-1</f>
        <v>-6.3532401524779569E-4</v>
      </c>
    </row>
    <row r="137" spans="1:3" x14ac:dyDescent="0.25">
      <c r="A137" s="1">
        <v>44396</v>
      </c>
      <c r="B137" s="2">
        <v>4708</v>
      </c>
      <c r="C137" s="4">
        <f>(WMT_data[[#This Row],[Último]]/B136)-1</f>
        <v>-2.3310023310023631E-3</v>
      </c>
    </row>
    <row r="138" spans="1:3" x14ac:dyDescent="0.25">
      <c r="A138" s="1">
        <v>44397</v>
      </c>
      <c r="B138" s="2">
        <v>4729</v>
      </c>
      <c r="C138" s="4">
        <f>(WMT_data[[#This Row],[Último]]/B137)-1</f>
        <v>4.4604927782498915E-3</v>
      </c>
    </row>
    <row r="139" spans="1:3" x14ac:dyDescent="0.25">
      <c r="A139" s="1">
        <v>44398</v>
      </c>
      <c r="B139" s="2">
        <v>4706</v>
      </c>
      <c r="C139" s="4">
        <f>(WMT_data[[#This Row],[Último]]/B138)-1</f>
        <v>-4.8636075280186208E-3</v>
      </c>
    </row>
    <row r="140" spans="1:3" x14ac:dyDescent="0.25">
      <c r="A140" s="1">
        <v>44399</v>
      </c>
      <c r="B140" s="2">
        <v>4709</v>
      </c>
      <c r="C140" s="4">
        <f>(WMT_data[[#This Row],[Último]]/B139)-1</f>
        <v>6.3748406289843018E-4</v>
      </c>
    </row>
    <row r="141" spans="1:3" x14ac:dyDescent="0.25">
      <c r="A141" s="1">
        <v>44400</v>
      </c>
      <c r="B141" s="2">
        <v>4748</v>
      </c>
      <c r="C141" s="4">
        <f>(WMT_data[[#This Row],[Último]]/B140)-1</f>
        <v>8.2820131662773022E-3</v>
      </c>
    </row>
    <row r="142" spans="1:3" x14ac:dyDescent="0.25">
      <c r="A142" s="1">
        <v>44403</v>
      </c>
      <c r="B142" s="2">
        <v>4754</v>
      </c>
      <c r="C142" s="4">
        <f>(WMT_data[[#This Row],[Último]]/B141)-1</f>
        <v>1.2636899747262564E-3</v>
      </c>
    </row>
    <row r="143" spans="1:3" x14ac:dyDescent="0.25">
      <c r="A143" s="1">
        <v>44404</v>
      </c>
      <c r="B143" s="2">
        <v>4755</v>
      </c>
      <c r="C143" s="4">
        <f>(WMT_data[[#This Row],[Último]]/B142)-1</f>
        <v>2.1034917963813626E-4</v>
      </c>
    </row>
    <row r="144" spans="1:3" x14ac:dyDescent="0.25">
      <c r="A144" s="1">
        <v>44405</v>
      </c>
      <c r="B144" s="2">
        <v>4735</v>
      </c>
      <c r="C144" s="4">
        <f>(WMT_data[[#This Row],[Último]]/B143)-1</f>
        <v>-4.2060988433227919E-3</v>
      </c>
    </row>
    <row r="145" spans="1:3" x14ac:dyDescent="0.25">
      <c r="A145" s="1">
        <v>44406</v>
      </c>
      <c r="B145" s="2">
        <v>4741</v>
      </c>
      <c r="C145" s="4">
        <f>(WMT_data[[#This Row],[Último]]/B144)-1</f>
        <v>1.2671594508975037E-3</v>
      </c>
    </row>
    <row r="146" spans="1:3" x14ac:dyDescent="0.25">
      <c r="A146" s="1">
        <v>44407</v>
      </c>
      <c r="B146" s="2">
        <v>4752</v>
      </c>
      <c r="C146" s="4">
        <f>(WMT_data[[#This Row],[Último]]/B145)-1</f>
        <v>2.3201856148491462E-3</v>
      </c>
    </row>
    <row r="147" spans="1:3" x14ac:dyDescent="0.25">
      <c r="A147" s="1">
        <v>44410</v>
      </c>
      <c r="B147" s="2">
        <v>4741</v>
      </c>
      <c r="C147" s="4">
        <f>(WMT_data[[#This Row],[Último]]/B146)-1</f>
        <v>-2.3148148148147696E-3</v>
      </c>
    </row>
    <row r="148" spans="1:3" x14ac:dyDescent="0.25">
      <c r="A148" s="1">
        <v>44411</v>
      </c>
      <c r="B148" s="2">
        <v>4794</v>
      </c>
      <c r="C148" s="4">
        <f>(WMT_data[[#This Row],[Último]]/B147)-1</f>
        <v>1.1179076144273381E-2</v>
      </c>
    </row>
    <row r="149" spans="1:3" x14ac:dyDescent="0.25">
      <c r="A149" s="1">
        <v>44412</v>
      </c>
      <c r="B149" s="2">
        <v>4761</v>
      </c>
      <c r="C149" s="4">
        <f>(WMT_data[[#This Row],[Último]]/B148)-1</f>
        <v>-6.8836045056320794E-3</v>
      </c>
    </row>
    <row r="150" spans="1:3" x14ac:dyDescent="0.25">
      <c r="A150" s="1">
        <v>44413</v>
      </c>
      <c r="B150" s="2">
        <v>4850</v>
      </c>
      <c r="C150" s="4">
        <f>(WMT_data[[#This Row],[Último]]/B149)-1</f>
        <v>1.8693551774837225E-2</v>
      </c>
    </row>
    <row r="151" spans="1:3" x14ac:dyDescent="0.25">
      <c r="A151" s="1">
        <v>44414</v>
      </c>
      <c r="B151" s="2">
        <v>4841</v>
      </c>
      <c r="C151" s="4">
        <f>(WMT_data[[#This Row],[Último]]/B150)-1</f>
        <v>-1.8556701030927325E-3</v>
      </c>
    </row>
    <row r="152" spans="1:3" x14ac:dyDescent="0.25">
      <c r="A152" s="1">
        <v>44417</v>
      </c>
      <c r="B152" s="2">
        <v>4853</v>
      </c>
      <c r="C152" s="4">
        <f>(WMT_data[[#This Row],[Último]]/B151)-1</f>
        <v>2.4788266887005861E-3</v>
      </c>
    </row>
    <row r="153" spans="1:3" x14ac:dyDescent="0.25">
      <c r="A153" s="1">
        <v>44418</v>
      </c>
      <c r="B153" s="2">
        <v>4956</v>
      </c>
      <c r="C153" s="4">
        <f>(WMT_data[[#This Row],[Último]]/B152)-1</f>
        <v>2.1223985163816295E-2</v>
      </c>
    </row>
    <row r="154" spans="1:3" x14ac:dyDescent="0.25">
      <c r="A154" s="1">
        <v>44419</v>
      </c>
      <c r="B154" s="2">
        <v>5000</v>
      </c>
      <c r="C154" s="4">
        <f>(WMT_data[[#This Row],[Último]]/B153)-1</f>
        <v>8.8781275221954115E-3</v>
      </c>
    </row>
    <row r="155" spans="1:3" x14ac:dyDescent="0.25">
      <c r="A155" s="1">
        <v>44420</v>
      </c>
      <c r="B155" s="2">
        <v>4969</v>
      </c>
      <c r="C155" s="4">
        <f>(WMT_data[[#This Row],[Último]]/B154)-1</f>
        <v>-6.1999999999999833E-3</v>
      </c>
    </row>
    <row r="156" spans="1:3" x14ac:dyDescent="0.25">
      <c r="A156" s="1">
        <v>44421</v>
      </c>
      <c r="B156" s="2">
        <v>4984</v>
      </c>
      <c r="C156" s="4">
        <f>(WMT_data[[#This Row],[Último]]/B155)-1</f>
        <v>3.0187160394445911E-3</v>
      </c>
    </row>
    <row r="157" spans="1:3" x14ac:dyDescent="0.25">
      <c r="A157" s="1">
        <v>44424</v>
      </c>
      <c r="B157" s="2">
        <v>5025</v>
      </c>
      <c r="C157" s="4">
        <f>(WMT_data[[#This Row],[Último]]/B156)-1</f>
        <v>8.2263242375602008E-3</v>
      </c>
    </row>
    <row r="158" spans="1:3" x14ac:dyDescent="0.25">
      <c r="A158" s="1">
        <v>44425</v>
      </c>
      <c r="B158" s="2">
        <v>5023</v>
      </c>
      <c r="C158" s="4">
        <f>(WMT_data[[#This Row],[Último]]/B157)-1</f>
        <v>-3.9800995024874553E-4</v>
      </c>
    </row>
    <row r="159" spans="1:3" x14ac:dyDescent="0.25">
      <c r="A159" s="1">
        <v>44426</v>
      </c>
      <c r="B159" s="2">
        <v>4970</v>
      </c>
      <c r="C159" s="4">
        <f>(WMT_data[[#This Row],[Último]]/B158)-1</f>
        <v>-1.0551463268962724E-2</v>
      </c>
    </row>
    <row r="160" spans="1:3" x14ac:dyDescent="0.25">
      <c r="A160" s="1">
        <v>44427</v>
      </c>
      <c r="B160" s="2">
        <v>5004</v>
      </c>
      <c r="C160" s="4">
        <f>(WMT_data[[#This Row],[Último]]/B159)-1</f>
        <v>6.8410462776660186E-3</v>
      </c>
    </row>
    <row r="161" spans="1:3" x14ac:dyDescent="0.25">
      <c r="A161" s="1">
        <v>44428</v>
      </c>
      <c r="B161" s="2">
        <v>5048</v>
      </c>
      <c r="C161" s="4">
        <f>(WMT_data[[#This Row],[Último]]/B160)-1</f>
        <v>8.792965627498095E-3</v>
      </c>
    </row>
    <row r="162" spans="1:3" x14ac:dyDescent="0.25">
      <c r="A162" s="1">
        <v>44431</v>
      </c>
      <c r="B162" s="2">
        <v>5015</v>
      </c>
      <c r="C162" s="4">
        <f>(WMT_data[[#This Row],[Último]]/B161)-1</f>
        <v>-6.5372424722662803E-3</v>
      </c>
    </row>
    <row r="163" spans="1:3" x14ac:dyDescent="0.25">
      <c r="A163" s="1">
        <v>44432</v>
      </c>
      <c r="B163" s="2">
        <v>4963</v>
      </c>
      <c r="C163" s="4">
        <f>(WMT_data[[#This Row],[Último]]/B162)-1</f>
        <v>-1.0368893320039874E-2</v>
      </c>
    </row>
    <row r="164" spans="1:3" x14ac:dyDescent="0.25">
      <c r="A164" s="1">
        <v>44433</v>
      </c>
      <c r="B164" s="2">
        <v>4965</v>
      </c>
      <c r="C164" s="4">
        <f>(WMT_data[[#This Row],[Último]]/B163)-1</f>
        <v>4.0298206729794117E-4</v>
      </c>
    </row>
    <row r="165" spans="1:3" x14ac:dyDescent="0.25">
      <c r="A165" s="1">
        <v>44434</v>
      </c>
      <c r="B165" s="2">
        <v>4912</v>
      </c>
      <c r="C165" s="4">
        <f>(WMT_data[[#This Row],[Último]]/B164)-1</f>
        <v>-1.0674723061430025E-2</v>
      </c>
    </row>
    <row r="166" spans="1:3" x14ac:dyDescent="0.25">
      <c r="A166" s="1">
        <v>44435</v>
      </c>
      <c r="B166" s="2">
        <v>4884</v>
      </c>
      <c r="C166" s="4">
        <f>(WMT_data[[#This Row],[Último]]/B165)-1</f>
        <v>-5.7003257328990253E-3</v>
      </c>
    </row>
    <row r="167" spans="1:3" x14ac:dyDescent="0.25">
      <c r="A167" s="1">
        <v>44438</v>
      </c>
      <c r="B167" s="2">
        <v>4923</v>
      </c>
      <c r="C167" s="4">
        <f>(WMT_data[[#This Row],[Último]]/B166)-1</f>
        <v>7.9852579852579542E-3</v>
      </c>
    </row>
    <row r="168" spans="1:3" x14ac:dyDescent="0.25">
      <c r="A168" s="1">
        <v>44439</v>
      </c>
      <c r="B168" s="2">
        <v>4937</v>
      </c>
      <c r="C168" s="4">
        <f>(WMT_data[[#This Row],[Último]]/B167)-1</f>
        <v>2.8437944342880606E-3</v>
      </c>
    </row>
    <row r="169" spans="1:3" x14ac:dyDescent="0.25">
      <c r="A169" s="1">
        <v>44440</v>
      </c>
      <c r="B169" s="2">
        <v>4926</v>
      </c>
      <c r="C169" s="4">
        <f>(WMT_data[[#This Row],[Último]]/B168)-1</f>
        <v>-2.2280737289852581E-3</v>
      </c>
    </row>
    <row r="170" spans="1:3" x14ac:dyDescent="0.25">
      <c r="A170" s="1">
        <v>44441</v>
      </c>
      <c r="B170" s="2">
        <v>4952</v>
      </c>
      <c r="C170" s="4">
        <f>(WMT_data[[#This Row],[Último]]/B169)-1</f>
        <v>5.2781161185546654E-3</v>
      </c>
    </row>
    <row r="171" spans="1:3" x14ac:dyDescent="0.25">
      <c r="A171" s="1">
        <v>44442</v>
      </c>
      <c r="B171" s="2">
        <v>4975</v>
      </c>
      <c r="C171" s="4">
        <f>(WMT_data[[#This Row],[Último]]/B170)-1</f>
        <v>4.6445880452341548E-3</v>
      </c>
    </row>
    <row r="172" spans="1:3" x14ac:dyDescent="0.25">
      <c r="A172" s="1">
        <v>44446</v>
      </c>
      <c r="B172" s="2">
        <v>4909</v>
      </c>
      <c r="C172" s="4">
        <f>(WMT_data[[#This Row],[Último]]/B171)-1</f>
        <v>-1.3266331658291497E-2</v>
      </c>
    </row>
    <row r="173" spans="1:3" x14ac:dyDescent="0.25">
      <c r="A173" s="1">
        <v>44447</v>
      </c>
      <c r="B173" s="2">
        <v>4915</v>
      </c>
      <c r="C173" s="4">
        <f>(WMT_data[[#This Row],[Último]]/B172)-1</f>
        <v>1.2222448563863342E-3</v>
      </c>
    </row>
    <row r="174" spans="1:3" x14ac:dyDescent="0.25">
      <c r="A174" s="1">
        <v>44448</v>
      </c>
      <c r="B174" s="2">
        <v>4881</v>
      </c>
      <c r="C174" s="4">
        <f>(WMT_data[[#This Row],[Último]]/B173)-1</f>
        <v>-6.9175991861647468E-3</v>
      </c>
    </row>
    <row r="175" spans="1:3" x14ac:dyDescent="0.25">
      <c r="A175" s="1">
        <v>44449</v>
      </c>
      <c r="B175" s="2">
        <v>4863</v>
      </c>
      <c r="C175" s="4">
        <f>(WMT_data[[#This Row],[Último]]/B174)-1</f>
        <v>-3.6877688998155911E-3</v>
      </c>
    </row>
    <row r="176" spans="1:3" x14ac:dyDescent="0.25">
      <c r="A176" s="1">
        <v>44452</v>
      </c>
      <c r="B176" s="2">
        <v>4835</v>
      </c>
      <c r="C176" s="4">
        <f>(WMT_data[[#This Row],[Último]]/B175)-1</f>
        <v>-5.7577626979230523E-3</v>
      </c>
    </row>
    <row r="177" spans="1:3" x14ac:dyDescent="0.25">
      <c r="A177" s="1">
        <v>44453</v>
      </c>
      <c r="B177" s="2">
        <v>4810</v>
      </c>
      <c r="C177" s="4">
        <f>(WMT_data[[#This Row],[Último]]/B176)-1</f>
        <v>-5.170630816959676E-3</v>
      </c>
    </row>
    <row r="178" spans="1:3" x14ac:dyDescent="0.25">
      <c r="A178" s="1">
        <v>44454</v>
      </c>
      <c r="B178" s="2">
        <v>4818</v>
      </c>
      <c r="C178" s="4">
        <f>(WMT_data[[#This Row],[Último]]/B177)-1</f>
        <v>1.6632016632016633E-3</v>
      </c>
    </row>
    <row r="179" spans="1:3" x14ac:dyDescent="0.25">
      <c r="A179" s="1">
        <v>44455</v>
      </c>
      <c r="B179" s="2">
        <v>4834</v>
      </c>
      <c r="C179" s="4">
        <f>(WMT_data[[#This Row],[Último]]/B178)-1</f>
        <v>3.3208800332087396E-3</v>
      </c>
    </row>
    <row r="180" spans="1:3" x14ac:dyDescent="0.25">
      <c r="A180" s="1">
        <v>44456</v>
      </c>
      <c r="B180" s="2">
        <v>4824</v>
      </c>
      <c r="C180" s="4">
        <f>(WMT_data[[#This Row],[Último]]/B179)-1</f>
        <v>-2.0686801820438694E-3</v>
      </c>
    </row>
    <row r="181" spans="1:3" x14ac:dyDescent="0.25">
      <c r="A181" s="1">
        <v>44459</v>
      </c>
      <c r="B181" s="2">
        <v>4758</v>
      </c>
      <c r="C181" s="4">
        <f>(WMT_data[[#This Row],[Último]]/B180)-1</f>
        <v>-1.3681592039801016E-2</v>
      </c>
    </row>
    <row r="182" spans="1:3" x14ac:dyDescent="0.25">
      <c r="A182" s="1">
        <v>44460</v>
      </c>
      <c r="B182" s="2">
        <v>4767</v>
      </c>
      <c r="C182" s="4">
        <f>(WMT_data[[#This Row],[Último]]/B181)-1</f>
        <v>1.8915510718788831E-3</v>
      </c>
    </row>
    <row r="183" spans="1:3" x14ac:dyDescent="0.25">
      <c r="A183" s="1">
        <v>44461</v>
      </c>
      <c r="B183" s="2">
        <v>4756</v>
      </c>
      <c r="C183" s="4">
        <f>(WMT_data[[#This Row],[Último]]/B182)-1</f>
        <v>-2.3075309418921774E-3</v>
      </c>
    </row>
    <row r="184" spans="1:3" x14ac:dyDescent="0.25">
      <c r="A184" s="1">
        <v>44462</v>
      </c>
      <c r="B184" s="2">
        <v>4759</v>
      </c>
      <c r="C184" s="4">
        <f>(WMT_data[[#This Row],[Último]]/B183)-1</f>
        <v>6.3078216989076452E-4</v>
      </c>
    </row>
    <row r="185" spans="1:3" x14ac:dyDescent="0.25">
      <c r="A185" s="1">
        <v>44463</v>
      </c>
      <c r="B185" s="2">
        <v>4772</v>
      </c>
      <c r="C185" s="4">
        <f>(WMT_data[[#This Row],[Último]]/B184)-1</f>
        <v>2.7316663164529409E-3</v>
      </c>
    </row>
    <row r="186" spans="1:3" x14ac:dyDescent="0.25">
      <c r="A186" s="1">
        <v>44466</v>
      </c>
      <c r="B186" s="2">
        <v>4742</v>
      </c>
      <c r="C186" s="4">
        <f>(WMT_data[[#This Row],[Último]]/B185)-1</f>
        <v>-6.2866722548198251E-3</v>
      </c>
    </row>
    <row r="187" spans="1:3" x14ac:dyDescent="0.25">
      <c r="A187" s="1">
        <v>44467</v>
      </c>
      <c r="B187" s="2">
        <v>4683</v>
      </c>
      <c r="C187" s="4">
        <f>(WMT_data[[#This Row],[Último]]/B186)-1</f>
        <v>-1.2442007591733417E-2</v>
      </c>
    </row>
    <row r="188" spans="1:3" x14ac:dyDescent="0.25">
      <c r="A188" s="1">
        <v>44468</v>
      </c>
      <c r="B188" s="2">
        <v>4681</v>
      </c>
      <c r="C188" s="4">
        <f>(WMT_data[[#This Row],[Último]]/B187)-1</f>
        <v>-4.2707666026053914E-4</v>
      </c>
    </row>
    <row r="189" spans="1:3" x14ac:dyDescent="0.25">
      <c r="A189" s="1">
        <v>44469</v>
      </c>
      <c r="B189" s="2">
        <v>4646</v>
      </c>
      <c r="C189" s="4">
        <f>(WMT_data[[#This Row],[Último]]/B188)-1</f>
        <v>-7.4770348216193216E-3</v>
      </c>
    </row>
    <row r="190" spans="1:3" x14ac:dyDescent="0.25">
      <c r="A190" s="1">
        <v>44470</v>
      </c>
      <c r="B190" s="2">
        <v>4568</v>
      </c>
      <c r="C190" s="4">
        <f>(WMT_data[[#This Row],[Último]]/B189)-1</f>
        <v>-1.6788635385277639E-2</v>
      </c>
    </row>
    <row r="191" spans="1:3" x14ac:dyDescent="0.25">
      <c r="A191" s="1">
        <v>44473</v>
      </c>
      <c r="B191" s="2">
        <v>4524</v>
      </c>
      <c r="C191" s="4">
        <f>(WMT_data[[#This Row],[Último]]/B190)-1</f>
        <v>-9.6322241681261467E-3</v>
      </c>
    </row>
    <row r="192" spans="1:3" x14ac:dyDescent="0.25">
      <c r="A192" s="1">
        <v>44474</v>
      </c>
      <c r="B192" s="2">
        <v>4554</v>
      </c>
      <c r="C192" s="4">
        <f>(WMT_data[[#This Row],[Último]]/B191)-1</f>
        <v>6.6312997347479641E-3</v>
      </c>
    </row>
    <row r="193" spans="1:3" x14ac:dyDescent="0.25">
      <c r="A193" s="1">
        <v>44475</v>
      </c>
      <c r="B193" s="2">
        <v>4587</v>
      </c>
      <c r="C193" s="4">
        <f>(WMT_data[[#This Row],[Último]]/B192)-1</f>
        <v>7.2463768115942351E-3</v>
      </c>
    </row>
    <row r="194" spans="1:3" x14ac:dyDescent="0.25">
      <c r="A194" s="1">
        <v>44476</v>
      </c>
      <c r="B194" s="2">
        <v>4641</v>
      </c>
      <c r="C194" s="4">
        <f>(WMT_data[[#This Row],[Último]]/B193)-1</f>
        <v>1.1772400261608862E-2</v>
      </c>
    </row>
    <row r="195" spans="1:3" x14ac:dyDescent="0.25">
      <c r="A195" s="1">
        <v>44477</v>
      </c>
      <c r="B195" s="2">
        <v>4655</v>
      </c>
      <c r="C195" s="4">
        <f>(WMT_data[[#This Row],[Último]]/B194)-1</f>
        <v>3.0165912518853588E-3</v>
      </c>
    </row>
    <row r="196" spans="1:3" x14ac:dyDescent="0.25">
      <c r="A196" s="1">
        <v>44480</v>
      </c>
      <c r="B196" s="2">
        <v>4651</v>
      </c>
      <c r="C196" s="4">
        <f>(WMT_data[[#This Row],[Último]]/B195)-1</f>
        <v>-8.5929108485494066E-4</v>
      </c>
    </row>
    <row r="197" spans="1:3" x14ac:dyDescent="0.25">
      <c r="A197" s="1">
        <v>44481</v>
      </c>
      <c r="B197" s="2">
        <v>4646</v>
      </c>
      <c r="C197" s="4">
        <f>(WMT_data[[#This Row],[Último]]/B196)-1</f>
        <v>-1.0750376263168882E-3</v>
      </c>
    </row>
    <row r="198" spans="1:3" x14ac:dyDescent="0.25">
      <c r="A198" s="1">
        <v>44482</v>
      </c>
      <c r="B198" s="2">
        <v>4612</v>
      </c>
      <c r="C198" s="4">
        <f>(WMT_data[[#This Row],[Último]]/B197)-1</f>
        <v>-7.3181231166594696E-3</v>
      </c>
    </row>
    <row r="199" spans="1:3" x14ac:dyDescent="0.25">
      <c r="A199" s="1">
        <v>44483</v>
      </c>
      <c r="B199" s="2">
        <v>4662</v>
      </c>
      <c r="C199" s="4">
        <f>(WMT_data[[#This Row],[Último]]/B198)-1</f>
        <v>1.0841283607979202E-2</v>
      </c>
    </row>
    <row r="200" spans="1:3" x14ac:dyDescent="0.25">
      <c r="A200" s="1">
        <v>44484</v>
      </c>
      <c r="B200" s="2">
        <v>4685</v>
      </c>
      <c r="C200" s="4">
        <f>(WMT_data[[#This Row],[Último]]/B199)-1</f>
        <v>4.933504933504862E-3</v>
      </c>
    </row>
    <row r="201" spans="1:3" x14ac:dyDescent="0.25">
      <c r="A201" s="1">
        <v>44487</v>
      </c>
      <c r="B201" s="2">
        <v>4723</v>
      </c>
      <c r="C201" s="4">
        <f>(WMT_data[[#This Row],[Último]]/B200)-1</f>
        <v>8.1109925293489926E-3</v>
      </c>
    </row>
    <row r="202" spans="1:3" x14ac:dyDescent="0.25">
      <c r="A202" s="1">
        <v>44488</v>
      </c>
      <c r="B202" s="2">
        <v>4823</v>
      </c>
      <c r="C202" s="4">
        <f>(WMT_data[[#This Row],[Último]]/B201)-1</f>
        <v>2.117298327334316E-2</v>
      </c>
    </row>
    <row r="203" spans="1:3" x14ac:dyDescent="0.25">
      <c r="A203" s="1">
        <v>44489</v>
      </c>
      <c r="B203" s="2">
        <v>4867</v>
      </c>
      <c r="C203" s="4">
        <f>(WMT_data[[#This Row],[Último]]/B202)-1</f>
        <v>9.1229525191789396E-3</v>
      </c>
    </row>
    <row r="204" spans="1:3" x14ac:dyDescent="0.25">
      <c r="A204" s="1">
        <v>44490</v>
      </c>
      <c r="B204" s="2">
        <v>4894</v>
      </c>
      <c r="C204" s="4">
        <f>(WMT_data[[#This Row],[Último]]/B203)-1</f>
        <v>5.5475652352579008E-3</v>
      </c>
    </row>
    <row r="205" spans="1:3" x14ac:dyDescent="0.25">
      <c r="A205" s="1">
        <v>44491</v>
      </c>
      <c r="B205" s="2">
        <v>4945</v>
      </c>
      <c r="C205" s="4">
        <f>(WMT_data[[#This Row],[Último]]/B204)-1</f>
        <v>1.042092357989377E-2</v>
      </c>
    </row>
    <row r="206" spans="1:3" x14ac:dyDescent="0.25">
      <c r="A206" s="1">
        <v>44494</v>
      </c>
      <c r="B206" s="2">
        <v>5002</v>
      </c>
      <c r="C206" s="4">
        <f>(WMT_data[[#This Row],[Último]]/B205)-1</f>
        <v>1.1526794742163782E-2</v>
      </c>
    </row>
    <row r="207" spans="1:3" x14ac:dyDescent="0.25">
      <c r="A207" s="1">
        <v>44495</v>
      </c>
      <c r="B207" s="2">
        <v>4958</v>
      </c>
      <c r="C207" s="4">
        <f>(WMT_data[[#This Row],[Último]]/B206)-1</f>
        <v>-8.7964814074370512E-3</v>
      </c>
    </row>
    <row r="208" spans="1:3" x14ac:dyDescent="0.25">
      <c r="A208" s="1">
        <v>44496</v>
      </c>
      <c r="B208" s="2">
        <v>4918</v>
      </c>
      <c r="C208" s="4">
        <f>(WMT_data[[#This Row],[Último]]/B207)-1</f>
        <v>-8.0677692617990848E-3</v>
      </c>
    </row>
    <row r="209" spans="1:3" x14ac:dyDescent="0.25">
      <c r="A209" s="1">
        <v>44497</v>
      </c>
      <c r="B209" s="2">
        <v>4948</v>
      </c>
      <c r="C209" s="4">
        <f>(WMT_data[[#This Row],[Último]]/B208)-1</f>
        <v>6.1000406669378116E-3</v>
      </c>
    </row>
    <row r="210" spans="1:3" x14ac:dyDescent="0.25">
      <c r="A210" s="1">
        <v>44498</v>
      </c>
      <c r="B210" s="2">
        <v>4981</v>
      </c>
      <c r="C210" s="4">
        <f>(WMT_data[[#This Row],[Último]]/B209)-1</f>
        <v>6.6693613581245703E-3</v>
      </c>
    </row>
    <row r="211" spans="1:3" x14ac:dyDescent="0.25">
      <c r="A211" s="1">
        <v>44501</v>
      </c>
      <c r="B211" s="2">
        <v>4993</v>
      </c>
      <c r="C211" s="4">
        <f>(WMT_data[[#This Row],[Último]]/B210)-1</f>
        <v>2.4091547881950337E-3</v>
      </c>
    </row>
    <row r="212" spans="1:3" x14ac:dyDescent="0.25">
      <c r="A212" s="1">
        <v>44502</v>
      </c>
      <c r="B212" s="2">
        <v>4991</v>
      </c>
      <c r="C212" s="4">
        <f>(WMT_data[[#This Row],[Último]]/B211)-1</f>
        <v>-4.005607850990911E-4</v>
      </c>
    </row>
    <row r="213" spans="1:3" x14ac:dyDescent="0.25">
      <c r="A213" s="1">
        <v>44503</v>
      </c>
      <c r="B213" s="2">
        <v>5006</v>
      </c>
      <c r="C213" s="4">
        <f>(WMT_data[[#This Row],[Último]]/B212)-1</f>
        <v>3.005409737527609E-3</v>
      </c>
    </row>
    <row r="214" spans="1:3" x14ac:dyDescent="0.25">
      <c r="A214" s="1">
        <v>44504</v>
      </c>
      <c r="B214" s="2">
        <v>5043</v>
      </c>
      <c r="C214" s="4">
        <f>(WMT_data[[#This Row],[Último]]/B213)-1</f>
        <v>7.3911306432281609E-3</v>
      </c>
    </row>
    <row r="215" spans="1:3" x14ac:dyDescent="0.25">
      <c r="A215" s="1">
        <v>44505</v>
      </c>
      <c r="B215" s="2">
        <v>5008</v>
      </c>
      <c r="C215" s="4">
        <f>(WMT_data[[#This Row],[Último]]/B214)-1</f>
        <v>-6.9403133055720989E-3</v>
      </c>
    </row>
    <row r="216" spans="1:3" x14ac:dyDescent="0.25">
      <c r="A216" s="1">
        <v>44508</v>
      </c>
      <c r="B216" s="2">
        <v>4976</v>
      </c>
      <c r="C216" s="4">
        <f>(WMT_data[[#This Row],[Último]]/B215)-1</f>
        <v>-6.389776357827448E-3</v>
      </c>
    </row>
    <row r="217" spans="1:3" x14ac:dyDescent="0.25">
      <c r="A217" s="1">
        <v>44509</v>
      </c>
      <c r="B217" s="2">
        <v>4993</v>
      </c>
      <c r="C217" s="4">
        <f>(WMT_data[[#This Row],[Último]]/B216)-1</f>
        <v>3.416398713826263E-3</v>
      </c>
    </row>
    <row r="218" spans="1:3" x14ac:dyDescent="0.25">
      <c r="A218" s="1">
        <v>44510</v>
      </c>
      <c r="B218" s="2">
        <v>4948</v>
      </c>
      <c r="C218" s="4">
        <f>(WMT_data[[#This Row],[Último]]/B217)-1</f>
        <v>-9.0126176647306044E-3</v>
      </c>
    </row>
    <row r="219" spans="1:3" x14ac:dyDescent="0.25">
      <c r="A219" s="1">
        <v>44511</v>
      </c>
      <c r="B219" s="2">
        <v>4950</v>
      </c>
      <c r="C219" s="4">
        <f>(WMT_data[[#This Row],[Último]]/B218)-1</f>
        <v>4.0420371867422311E-4</v>
      </c>
    </row>
    <row r="220" spans="1:3" x14ac:dyDescent="0.25">
      <c r="A220" s="1">
        <v>44512</v>
      </c>
      <c r="B220" s="2">
        <v>4925</v>
      </c>
      <c r="C220" s="4">
        <f>(WMT_data[[#This Row],[Último]]/B219)-1</f>
        <v>-5.050505050505083E-3</v>
      </c>
    </row>
    <row r="221" spans="1:3" x14ac:dyDescent="0.25">
      <c r="A221" s="1">
        <v>44515</v>
      </c>
      <c r="B221" s="2">
        <v>4897</v>
      </c>
      <c r="C221" s="4">
        <f>(WMT_data[[#This Row],[Último]]/B220)-1</f>
        <v>-5.6852791878172493E-3</v>
      </c>
    </row>
    <row r="222" spans="1:3" x14ac:dyDescent="0.25">
      <c r="A222" s="1">
        <v>44516</v>
      </c>
      <c r="B222" s="2">
        <v>4772</v>
      </c>
      <c r="C222" s="4">
        <f>(WMT_data[[#This Row],[Último]]/B221)-1</f>
        <v>-2.552583214212778E-2</v>
      </c>
    </row>
    <row r="223" spans="1:3" x14ac:dyDescent="0.25">
      <c r="A223" s="1">
        <v>44517</v>
      </c>
      <c r="B223" s="2">
        <v>4731</v>
      </c>
      <c r="C223" s="4">
        <f>(WMT_data[[#This Row],[Último]]/B222)-1</f>
        <v>-8.5917854149203388E-3</v>
      </c>
    </row>
    <row r="224" spans="1:3" x14ac:dyDescent="0.25">
      <c r="A224" s="1">
        <v>44518</v>
      </c>
      <c r="B224" s="2">
        <v>4772</v>
      </c>
      <c r="C224" s="4">
        <f>(WMT_data[[#This Row],[Último]]/B223)-1</f>
        <v>8.6662439230607013E-3</v>
      </c>
    </row>
    <row r="225" spans="1:3" x14ac:dyDescent="0.25">
      <c r="A225" s="1">
        <v>44519</v>
      </c>
      <c r="B225" s="2">
        <v>4746</v>
      </c>
      <c r="C225" s="4">
        <f>(WMT_data[[#This Row],[Último]]/B224)-1</f>
        <v>-5.4484492875104262E-3</v>
      </c>
    </row>
    <row r="226" spans="1:3" x14ac:dyDescent="0.25">
      <c r="A226" s="1">
        <v>44522</v>
      </c>
      <c r="B226" s="2">
        <v>4826</v>
      </c>
      <c r="C226" s="4">
        <f>(WMT_data[[#This Row],[Último]]/B225)-1</f>
        <v>1.6856300042140671E-2</v>
      </c>
    </row>
    <row r="227" spans="1:3" x14ac:dyDescent="0.25">
      <c r="A227" s="1">
        <v>44523</v>
      </c>
      <c r="B227" s="2">
        <v>4860</v>
      </c>
      <c r="C227" s="4">
        <f>(WMT_data[[#This Row],[Último]]/B226)-1</f>
        <v>7.0451719850808114E-3</v>
      </c>
    </row>
    <row r="228" spans="1:3" x14ac:dyDescent="0.25">
      <c r="A228" s="1">
        <v>44524</v>
      </c>
      <c r="B228" s="2">
        <v>4885</v>
      </c>
      <c r="C228" s="4">
        <f>(WMT_data[[#This Row],[Último]]/B227)-1</f>
        <v>5.1440329218106484E-3</v>
      </c>
    </row>
    <row r="229" spans="1:3" x14ac:dyDescent="0.25">
      <c r="A229" s="1">
        <v>44526</v>
      </c>
      <c r="B229" s="2">
        <v>4830</v>
      </c>
      <c r="C229" s="4">
        <f>(WMT_data[[#This Row],[Último]]/B228)-1</f>
        <v>-1.1258955987717534E-2</v>
      </c>
    </row>
    <row r="230" spans="1:3" x14ac:dyDescent="0.25">
      <c r="A230" s="1">
        <v>44529</v>
      </c>
      <c r="B230" s="2">
        <v>4754</v>
      </c>
      <c r="C230" s="4">
        <f>(WMT_data[[#This Row],[Último]]/B229)-1</f>
        <v>-1.5734989648033104E-2</v>
      </c>
    </row>
    <row r="231" spans="1:3" x14ac:dyDescent="0.25">
      <c r="A231" s="1">
        <v>44530</v>
      </c>
      <c r="B231" s="2">
        <v>4688</v>
      </c>
      <c r="C231" s="4">
        <f>(WMT_data[[#This Row],[Último]]/B230)-1</f>
        <v>-1.3883045856121212E-2</v>
      </c>
    </row>
    <row r="232" spans="1:3" x14ac:dyDescent="0.25">
      <c r="A232" s="1">
        <v>44531</v>
      </c>
      <c r="B232" s="2">
        <v>4571</v>
      </c>
      <c r="C232" s="4">
        <f>(WMT_data[[#This Row],[Último]]/B231)-1</f>
        <v>-2.4957337883959041E-2</v>
      </c>
    </row>
    <row r="233" spans="1:3" x14ac:dyDescent="0.25">
      <c r="A233" s="1">
        <v>44532</v>
      </c>
      <c r="B233" s="2">
        <v>4516</v>
      </c>
      <c r="C233" s="4">
        <f>(WMT_data[[#This Row],[Último]]/B232)-1</f>
        <v>-1.2032378035440772E-2</v>
      </c>
    </row>
    <row r="234" spans="1:3" x14ac:dyDescent="0.25">
      <c r="A234" s="1">
        <v>44533</v>
      </c>
      <c r="B234" s="2">
        <v>4584</v>
      </c>
      <c r="C234" s="4">
        <f>(WMT_data[[#This Row],[Último]]/B233)-1</f>
        <v>1.5057573073516295E-2</v>
      </c>
    </row>
    <row r="235" spans="1:3" x14ac:dyDescent="0.25">
      <c r="A235" s="1">
        <v>44536</v>
      </c>
      <c r="B235" s="2">
        <v>4633</v>
      </c>
      <c r="C235" s="4">
        <f>(WMT_data[[#This Row],[Último]]/B234)-1</f>
        <v>1.0689354275741803E-2</v>
      </c>
    </row>
    <row r="236" spans="1:3" x14ac:dyDescent="0.25">
      <c r="A236" s="1">
        <v>44537</v>
      </c>
      <c r="B236" s="2">
        <v>4618</v>
      </c>
      <c r="C236" s="4">
        <f>(WMT_data[[#This Row],[Último]]/B235)-1</f>
        <v>-3.2376429958990149E-3</v>
      </c>
    </row>
    <row r="237" spans="1:3" x14ac:dyDescent="0.25">
      <c r="A237" s="1">
        <v>44538</v>
      </c>
      <c r="B237" s="2">
        <v>4572</v>
      </c>
      <c r="C237" s="4">
        <f>(WMT_data[[#This Row],[Último]]/B236)-1</f>
        <v>-9.9610220874837285E-3</v>
      </c>
    </row>
    <row r="238" spans="1:3" x14ac:dyDescent="0.25">
      <c r="A238" s="1">
        <v>44539</v>
      </c>
      <c r="B238" s="2">
        <v>4617</v>
      </c>
      <c r="C238" s="4">
        <f>(WMT_data[[#This Row],[Último]]/B237)-1</f>
        <v>9.8425196850393526E-3</v>
      </c>
    </row>
    <row r="239" spans="1:3" x14ac:dyDescent="0.25">
      <c r="A239" s="1">
        <v>44540</v>
      </c>
      <c r="B239" s="2">
        <v>4701</v>
      </c>
      <c r="C239" s="4">
        <f>(WMT_data[[#This Row],[Último]]/B238)-1</f>
        <v>1.8193632228719947E-2</v>
      </c>
    </row>
    <row r="240" spans="1:3" x14ac:dyDescent="0.25">
      <c r="A240" s="1">
        <v>44543</v>
      </c>
      <c r="B240" s="2">
        <v>4786</v>
      </c>
      <c r="C240" s="4">
        <f>(WMT_data[[#This Row],[Último]]/B239)-1</f>
        <v>1.8081259306530484E-2</v>
      </c>
    </row>
    <row r="241" spans="1:3" x14ac:dyDescent="0.25">
      <c r="A241" s="1">
        <v>44544</v>
      </c>
      <c r="B241" s="2">
        <v>4831</v>
      </c>
      <c r="C241" s="4">
        <f>(WMT_data[[#This Row],[Último]]/B240)-1</f>
        <v>9.4024237358962814E-3</v>
      </c>
    </row>
    <row r="242" spans="1:3" x14ac:dyDescent="0.25">
      <c r="A242" s="1">
        <v>44545</v>
      </c>
      <c r="B242" s="2">
        <v>4859</v>
      </c>
      <c r="C242" s="4">
        <f>(WMT_data[[#This Row],[Último]]/B241)-1</f>
        <v>5.7959014696751243E-3</v>
      </c>
    </row>
    <row r="243" spans="1:3" x14ac:dyDescent="0.25">
      <c r="A243" s="1">
        <v>44546</v>
      </c>
      <c r="B243" s="2">
        <v>4778</v>
      </c>
      <c r="C243" s="4">
        <f>(WMT_data[[#This Row],[Último]]/B242)-1</f>
        <v>-1.6670096727721795E-2</v>
      </c>
    </row>
    <row r="244" spans="1:3" x14ac:dyDescent="0.25">
      <c r="A244" s="1">
        <v>44547</v>
      </c>
      <c r="B244" s="2">
        <v>4625</v>
      </c>
      <c r="C244" s="4">
        <f>(WMT_data[[#This Row],[Último]]/B243)-1</f>
        <v>-3.2021766429468412E-2</v>
      </c>
    </row>
    <row r="245" spans="1:3" x14ac:dyDescent="0.25">
      <c r="A245" s="1">
        <v>44550</v>
      </c>
      <c r="B245" s="2">
        <v>4640</v>
      </c>
      <c r="C245" s="4">
        <f>(WMT_data[[#This Row],[Último]]/B244)-1</f>
        <v>3.2432432432432101E-3</v>
      </c>
    </row>
    <row r="246" spans="1:3" x14ac:dyDescent="0.25">
      <c r="A246" s="1">
        <v>44551</v>
      </c>
      <c r="B246" s="2">
        <v>4654</v>
      </c>
      <c r="C246" s="4">
        <f>(WMT_data[[#This Row],[Último]]/B245)-1</f>
        <v>3.0172413793103647E-3</v>
      </c>
    </row>
    <row r="247" spans="1:3" x14ac:dyDescent="0.25">
      <c r="A247" s="1">
        <v>44552</v>
      </c>
      <c r="B247" s="2">
        <v>4660</v>
      </c>
      <c r="C247" s="4">
        <f>(WMT_data[[#This Row],[Último]]/B246)-1</f>
        <v>1.2892135797164528E-3</v>
      </c>
    </row>
    <row r="248" spans="1:3" x14ac:dyDescent="0.25">
      <c r="A248" s="1">
        <v>44553</v>
      </c>
      <c r="B248" s="2">
        <v>4650</v>
      </c>
      <c r="C248" s="4">
        <f>(WMT_data[[#This Row],[Último]]/B247)-1</f>
        <v>-2.1459227467811592E-3</v>
      </c>
    </row>
    <row r="249" spans="1:3" x14ac:dyDescent="0.25">
      <c r="A249" s="1">
        <v>44557</v>
      </c>
      <c r="B249" s="2">
        <v>4692</v>
      </c>
      <c r="C249" s="4">
        <f>(WMT_data[[#This Row],[Último]]/B248)-1</f>
        <v>9.0322580645161299E-3</v>
      </c>
    </row>
    <row r="250" spans="1:3" x14ac:dyDescent="0.25">
      <c r="A250" s="1">
        <v>44558</v>
      </c>
      <c r="B250" s="2">
        <v>4759</v>
      </c>
      <c r="C250" s="4">
        <f>(WMT_data[[#This Row],[Último]]/B249)-1</f>
        <v>1.4279624893435594E-2</v>
      </c>
    </row>
    <row r="251" spans="1:3" x14ac:dyDescent="0.25">
      <c r="A251" s="1">
        <v>44559</v>
      </c>
      <c r="B251" s="2">
        <v>4757</v>
      </c>
      <c r="C251" s="4">
        <f>(WMT_data[[#This Row],[Último]]/B250)-1</f>
        <v>-4.202563563774353E-4</v>
      </c>
    </row>
    <row r="252" spans="1:3" x14ac:dyDescent="0.25">
      <c r="A252" s="1">
        <v>44560</v>
      </c>
      <c r="B252" s="2">
        <v>4772</v>
      </c>
      <c r="C252" s="4">
        <f>(WMT_data[[#This Row],[Último]]/B251)-1</f>
        <v>3.1532478452807045E-3</v>
      </c>
    </row>
    <row r="253" spans="1:3" x14ac:dyDescent="0.25">
      <c r="A253" s="1">
        <v>44561</v>
      </c>
      <c r="B253" s="2">
        <v>4823</v>
      </c>
      <c r="C253" s="4">
        <f>(WMT_data[[#This Row],[Último]]/B252)-1</f>
        <v>1.0687342833193725E-2</v>
      </c>
    </row>
    <row r="254" spans="1:3" x14ac:dyDescent="0.25">
      <c r="A254" s="1">
        <v>44564</v>
      </c>
      <c r="B254" s="2">
        <v>4822</v>
      </c>
      <c r="C254" s="4">
        <f>(WMT_data[[#This Row],[Último]]/B253)-1</f>
        <v>-2.0733982998133449E-4</v>
      </c>
    </row>
    <row r="255" spans="1:3" x14ac:dyDescent="0.25">
      <c r="A255" s="1">
        <v>44565</v>
      </c>
      <c r="B255" s="2">
        <v>4733</v>
      </c>
      <c r="C255" s="4">
        <f>(WMT_data[[#This Row],[Último]]/B254)-1</f>
        <v>-1.8457071754458765E-2</v>
      </c>
    </row>
    <row r="256" spans="1:3" x14ac:dyDescent="0.25">
      <c r="A256" s="1">
        <v>44566</v>
      </c>
      <c r="B256" s="2">
        <v>4797</v>
      </c>
      <c r="C256" s="4">
        <f>(WMT_data[[#This Row],[Último]]/B255)-1</f>
        <v>1.3522079019649302E-2</v>
      </c>
    </row>
    <row r="257" spans="1:3" x14ac:dyDescent="0.25">
      <c r="A257" s="1">
        <v>44567</v>
      </c>
      <c r="B257" s="2">
        <v>4784</v>
      </c>
      <c r="C257" s="4">
        <f>(WMT_data[[#This Row],[Último]]/B256)-1</f>
        <v>-2.7100271002710175E-3</v>
      </c>
    </row>
    <row r="258" spans="1:3" x14ac:dyDescent="0.25">
      <c r="A258" s="1">
        <v>44568</v>
      </c>
      <c r="B258" s="2">
        <v>4830</v>
      </c>
      <c r="C258" s="4">
        <f>(WMT_data[[#This Row],[Último]]/B257)-1</f>
        <v>9.6153846153845812E-3</v>
      </c>
    </row>
    <row r="259" spans="1:3" x14ac:dyDescent="0.25">
      <c r="A259" s="1">
        <v>44571</v>
      </c>
      <c r="B259" s="2">
        <v>4820</v>
      </c>
      <c r="C259" s="4">
        <f>(WMT_data[[#This Row],[Último]]/B258)-1</f>
        <v>-2.0703933747412417E-3</v>
      </c>
    </row>
    <row r="260" spans="1:3" x14ac:dyDescent="0.25">
      <c r="A260" s="1">
        <v>44572</v>
      </c>
      <c r="B260" s="2">
        <v>4807</v>
      </c>
      <c r="C260" s="4">
        <f>(WMT_data[[#This Row],[Último]]/B259)-1</f>
        <v>-2.6970954356846377E-3</v>
      </c>
    </row>
    <row r="261" spans="1:3" x14ac:dyDescent="0.25">
      <c r="A261" s="1">
        <v>44573</v>
      </c>
      <c r="B261" s="2">
        <v>4781</v>
      </c>
      <c r="C261" s="4">
        <f>(WMT_data[[#This Row],[Último]]/B260)-1</f>
        <v>-5.4087788641564716E-3</v>
      </c>
    </row>
    <row r="262" spans="1:3" x14ac:dyDescent="0.25">
      <c r="A262" s="1">
        <v>44574</v>
      </c>
      <c r="B262" s="2">
        <v>4849</v>
      </c>
      <c r="C262" s="4">
        <f>(WMT_data[[#This Row],[Último]]/B261)-1</f>
        <v>1.4222965906714125E-2</v>
      </c>
    </row>
    <row r="263" spans="1:3" x14ac:dyDescent="0.25">
      <c r="A263" s="1">
        <v>44575</v>
      </c>
      <c r="B263" s="2">
        <v>4835</v>
      </c>
      <c r="C263" s="4">
        <f>(WMT_data[[#This Row],[Último]]/B262)-1</f>
        <v>-2.8871932357187324E-3</v>
      </c>
    </row>
    <row r="264" spans="1:3" x14ac:dyDescent="0.25">
      <c r="A264" s="1">
        <v>44579</v>
      </c>
      <c r="B264" s="2">
        <v>4751</v>
      </c>
      <c r="C264" s="4">
        <f>(WMT_data[[#This Row],[Último]]/B263)-1</f>
        <v>-1.7373319544984445E-2</v>
      </c>
    </row>
    <row r="265" spans="1:3" x14ac:dyDescent="0.25">
      <c r="A265" s="1">
        <v>44580</v>
      </c>
      <c r="B265" s="2">
        <v>4798</v>
      </c>
      <c r="C265" s="4">
        <f>(WMT_data[[#This Row],[Último]]/B264)-1</f>
        <v>9.892654178067728E-3</v>
      </c>
    </row>
    <row r="266" spans="1:3" x14ac:dyDescent="0.25">
      <c r="A266" s="1">
        <v>44581</v>
      </c>
      <c r="B266" s="2">
        <v>4707</v>
      </c>
      <c r="C266" s="4">
        <f>(WMT_data[[#This Row],[Último]]/B265)-1</f>
        <v>-1.8966235931638153E-2</v>
      </c>
    </row>
    <row r="267" spans="1:3" x14ac:dyDescent="0.25">
      <c r="A267" s="1">
        <v>44582</v>
      </c>
      <c r="B267" s="2">
        <v>4673</v>
      </c>
      <c r="C267" s="4">
        <f>(WMT_data[[#This Row],[Último]]/B266)-1</f>
        <v>-7.2232844699383625E-3</v>
      </c>
    </row>
    <row r="268" spans="1:3" x14ac:dyDescent="0.25">
      <c r="A268" s="1">
        <v>44585</v>
      </c>
      <c r="B268" s="2">
        <v>4673</v>
      </c>
      <c r="C268" s="4">
        <f>(WMT_data[[#This Row],[Último]]/B267)-1</f>
        <v>0</v>
      </c>
    </row>
    <row r="269" spans="1:3" x14ac:dyDescent="0.25">
      <c r="A269" s="1">
        <v>44586</v>
      </c>
      <c r="B269" s="2">
        <v>4572</v>
      </c>
      <c r="C269" s="4">
        <f>(WMT_data[[#This Row],[Último]]/B268)-1</f>
        <v>-2.1613524502460901E-2</v>
      </c>
    </row>
    <row r="270" spans="1:3" x14ac:dyDescent="0.25">
      <c r="A270" s="1">
        <v>44587</v>
      </c>
      <c r="B270" s="2">
        <v>4525</v>
      </c>
      <c r="C270" s="4">
        <f>(WMT_data[[#This Row],[Último]]/B269)-1</f>
        <v>-1.0279965004374447E-2</v>
      </c>
    </row>
    <row r="271" spans="1:3" x14ac:dyDescent="0.25">
      <c r="A271" s="1">
        <v>44588</v>
      </c>
      <c r="B271" s="2">
        <v>4528</v>
      </c>
      <c r="C271" s="4">
        <f>(WMT_data[[#This Row],[Último]]/B270)-1</f>
        <v>6.6298342541437627E-4</v>
      </c>
    </row>
    <row r="272" spans="1:3" x14ac:dyDescent="0.25">
      <c r="A272" s="1">
        <v>44589</v>
      </c>
      <c r="B272" s="2">
        <v>4584</v>
      </c>
      <c r="C272" s="4">
        <f>(WMT_data[[#This Row],[Último]]/B271)-1</f>
        <v>1.2367491166077826E-2</v>
      </c>
    </row>
    <row r="273" spans="1:3" x14ac:dyDescent="0.25">
      <c r="A273" s="1">
        <v>44592</v>
      </c>
      <c r="B273" s="2">
        <v>4660</v>
      </c>
      <c r="C273" s="4">
        <f>(WMT_data[[#This Row],[Último]]/B272)-1</f>
        <v>1.6579406631762605E-2</v>
      </c>
    </row>
    <row r="274" spans="1:3" x14ac:dyDescent="0.25">
      <c r="A274" s="1">
        <v>44593</v>
      </c>
      <c r="B274" s="2">
        <v>4697</v>
      </c>
      <c r="C274" s="4">
        <f>(WMT_data[[#This Row],[Último]]/B273)-1</f>
        <v>7.9399141630900338E-3</v>
      </c>
    </row>
    <row r="275" spans="1:3" x14ac:dyDescent="0.25">
      <c r="A275" s="1">
        <v>44594</v>
      </c>
      <c r="B275" s="2">
        <v>4695</v>
      </c>
      <c r="C275" s="4">
        <f>(WMT_data[[#This Row],[Último]]/B274)-1</f>
        <v>-4.2580370449218918E-4</v>
      </c>
    </row>
    <row r="276" spans="1:3" x14ac:dyDescent="0.25">
      <c r="A276" s="1">
        <v>44595</v>
      </c>
      <c r="B276" s="2">
        <v>4700</v>
      </c>
      <c r="C276" s="4">
        <f>(WMT_data[[#This Row],[Último]]/B275)-1</f>
        <v>1.0649627263046302E-3</v>
      </c>
    </row>
    <row r="277" spans="1:3" x14ac:dyDescent="0.25">
      <c r="A277" s="1">
        <v>44596</v>
      </c>
      <c r="B277" s="2">
        <v>4644</v>
      </c>
      <c r="C277" s="4">
        <f>(WMT_data[[#This Row],[Último]]/B276)-1</f>
        <v>-1.1914893617021249E-2</v>
      </c>
    </row>
    <row r="278" spans="1:3" x14ac:dyDescent="0.25">
      <c r="A278" s="1">
        <v>44599</v>
      </c>
      <c r="B278" s="2">
        <v>4599</v>
      </c>
      <c r="C278" s="4">
        <f>(WMT_data[[#This Row],[Último]]/B277)-1</f>
        <v>-9.6899224806201723E-3</v>
      </c>
    </row>
    <row r="279" spans="1:3" x14ac:dyDescent="0.25">
      <c r="A279" s="1">
        <v>44600</v>
      </c>
      <c r="B279" s="2">
        <v>4600</v>
      </c>
      <c r="C279" s="4">
        <f>(WMT_data[[#This Row],[Último]]/B278)-1</f>
        <v>2.1743857360290164E-4</v>
      </c>
    </row>
    <row r="280" spans="1:3" x14ac:dyDescent="0.25">
      <c r="A280" s="1">
        <v>44601</v>
      </c>
      <c r="B280" s="2">
        <v>4590</v>
      </c>
      <c r="C280" s="4">
        <f>(WMT_data[[#This Row],[Último]]/B279)-1</f>
        <v>-2.1739130434782483E-3</v>
      </c>
    </row>
    <row r="281" spans="1:3" x14ac:dyDescent="0.25">
      <c r="A281" s="1">
        <v>44602</v>
      </c>
      <c r="B281" s="2">
        <v>4536</v>
      </c>
      <c r="C281" s="4">
        <f>(WMT_data[[#This Row],[Último]]/B280)-1</f>
        <v>-1.1764705882352899E-2</v>
      </c>
    </row>
    <row r="282" spans="1:3" x14ac:dyDescent="0.25">
      <c r="A282" s="1">
        <v>44603</v>
      </c>
      <c r="B282" s="2">
        <v>4511</v>
      </c>
      <c r="C282" s="4">
        <f>(WMT_data[[#This Row],[Último]]/B281)-1</f>
        <v>-5.5114638447971709E-3</v>
      </c>
    </row>
    <row r="283" spans="1:3" x14ac:dyDescent="0.25">
      <c r="A283" s="1">
        <v>44606</v>
      </c>
      <c r="B283" s="2">
        <v>4465</v>
      </c>
      <c r="C283" s="4">
        <f>(WMT_data[[#This Row],[Último]]/B282)-1</f>
        <v>-1.0197295499889125E-2</v>
      </c>
    </row>
    <row r="284" spans="1:3" x14ac:dyDescent="0.25">
      <c r="A284" s="1">
        <v>44607</v>
      </c>
      <c r="B284" s="2">
        <v>4479</v>
      </c>
      <c r="C284" s="4">
        <f>(WMT_data[[#This Row],[Último]]/B283)-1</f>
        <v>3.1354983202687148E-3</v>
      </c>
    </row>
    <row r="285" spans="1:3" x14ac:dyDescent="0.25">
      <c r="A285" s="1">
        <v>44608</v>
      </c>
      <c r="B285" s="2">
        <v>4451</v>
      </c>
      <c r="C285" s="4">
        <f>(WMT_data[[#This Row],[Último]]/B284)-1</f>
        <v>-6.251395400759141E-3</v>
      </c>
    </row>
    <row r="286" spans="1:3" x14ac:dyDescent="0.25">
      <c r="A286" s="1">
        <v>44609</v>
      </c>
      <c r="B286" s="2">
        <v>4629</v>
      </c>
      <c r="C286" s="4">
        <f>(WMT_data[[#This Row],[Último]]/B285)-1</f>
        <v>3.9991013255448182E-2</v>
      </c>
    </row>
    <row r="287" spans="1:3" x14ac:dyDescent="0.25">
      <c r="A287" s="1">
        <v>44610</v>
      </c>
      <c r="B287" s="2">
        <v>4600</v>
      </c>
      <c r="C287" s="4">
        <f>(WMT_data[[#This Row],[Último]]/B286)-1</f>
        <v>-6.2648520198747004E-3</v>
      </c>
    </row>
    <row r="288" spans="1:3" x14ac:dyDescent="0.25">
      <c r="A288" s="1">
        <v>44614</v>
      </c>
      <c r="B288" s="2">
        <v>4548</v>
      </c>
      <c r="C288" s="4">
        <f>(WMT_data[[#This Row],[Último]]/B287)-1</f>
        <v>-1.1304347826086913E-2</v>
      </c>
    </row>
    <row r="289" spans="1:3" x14ac:dyDescent="0.25">
      <c r="A289" s="1">
        <v>44615</v>
      </c>
      <c r="B289" s="2">
        <v>4502</v>
      </c>
      <c r="C289" s="4">
        <f>(WMT_data[[#This Row],[Último]]/B288)-1</f>
        <v>-1.0114335971855737E-2</v>
      </c>
    </row>
    <row r="290" spans="1:3" x14ac:dyDescent="0.25">
      <c r="A290" s="1">
        <v>44616</v>
      </c>
      <c r="B290" s="2">
        <v>4484</v>
      </c>
      <c r="C290" s="4">
        <f>(WMT_data[[#This Row],[Último]]/B289)-1</f>
        <v>-3.998223011994706E-3</v>
      </c>
    </row>
    <row r="291" spans="1:3" x14ac:dyDescent="0.25">
      <c r="A291" s="1">
        <v>44617</v>
      </c>
      <c r="B291" s="2">
        <v>4546</v>
      </c>
      <c r="C291" s="4">
        <f>(WMT_data[[#This Row],[Último]]/B290)-1</f>
        <v>1.3826940231935758E-2</v>
      </c>
    </row>
    <row r="292" spans="1:3" x14ac:dyDescent="0.25">
      <c r="A292" s="1">
        <v>44620</v>
      </c>
      <c r="B292" s="2">
        <v>4505</v>
      </c>
      <c r="C292" s="4">
        <f>(WMT_data[[#This Row],[Último]]/B291)-1</f>
        <v>-9.0189177298723999E-3</v>
      </c>
    </row>
    <row r="293" spans="1:3" x14ac:dyDescent="0.25">
      <c r="A293" s="1">
        <v>44621</v>
      </c>
      <c r="B293" s="2">
        <v>4533</v>
      </c>
      <c r="C293" s="4">
        <f>(WMT_data[[#This Row],[Último]]/B292)-1</f>
        <v>6.2153163152052215E-3</v>
      </c>
    </row>
    <row r="294" spans="1:3" x14ac:dyDescent="0.25">
      <c r="A294" s="1">
        <v>44622</v>
      </c>
      <c r="B294" s="2">
        <v>4539</v>
      </c>
      <c r="C294" s="4">
        <f>(WMT_data[[#This Row],[Último]]/B293)-1</f>
        <v>1.323626737260053E-3</v>
      </c>
    </row>
    <row r="295" spans="1:3" x14ac:dyDescent="0.25">
      <c r="A295" s="1">
        <v>44623</v>
      </c>
      <c r="B295" s="2">
        <v>4643</v>
      </c>
      <c r="C295" s="4">
        <f>(WMT_data[[#This Row],[Último]]/B294)-1</f>
        <v>2.2912535800837297E-2</v>
      </c>
    </row>
    <row r="296" spans="1:3" x14ac:dyDescent="0.25">
      <c r="A296" s="1">
        <v>44624</v>
      </c>
      <c r="B296" s="2">
        <v>4761</v>
      </c>
      <c r="C296" s="4">
        <f>(WMT_data[[#This Row],[Último]]/B295)-1</f>
        <v>2.5414602627611416E-2</v>
      </c>
    </row>
    <row r="297" spans="1:3" x14ac:dyDescent="0.25">
      <c r="A297" s="1">
        <v>44627</v>
      </c>
      <c r="B297" s="2">
        <v>4722</v>
      </c>
      <c r="C297" s="4">
        <f>(WMT_data[[#This Row],[Último]]/B296)-1</f>
        <v>-8.1915563957152271E-3</v>
      </c>
    </row>
    <row r="298" spans="1:3" x14ac:dyDescent="0.25">
      <c r="A298" s="1">
        <v>44628</v>
      </c>
      <c r="B298" s="2">
        <v>4625</v>
      </c>
      <c r="C298" s="4">
        <f>(WMT_data[[#This Row],[Último]]/B297)-1</f>
        <v>-2.0542143159678061E-2</v>
      </c>
    </row>
    <row r="299" spans="1:3" x14ac:dyDescent="0.25">
      <c r="A299" s="1">
        <v>44629</v>
      </c>
      <c r="B299" s="2">
        <v>4649</v>
      </c>
      <c r="C299" s="4">
        <f>(WMT_data[[#This Row],[Último]]/B298)-1</f>
        <v>5.1891891891890918E-3</v>
      </c>
    </row>
    <row r="300" spans="1:3" x14ac:dyDescent="0.25">
      <c r="A300" s="1">
        <v>44630</v>
      </c>
      <c r="B300" s="2">
        <v>4754</v>
      </c>
      <c r="C300" s="4">
        <f>(WMT_data[[#This Row],[Último]]/B299)-1</f>
        <v>2.2585502258550161E-2</v>
      </c>
    </row>
    <row r="301" spans="1:3" x14ac:dyDescent="0.25">
      <c r="A301" s="1">
        <v>44631</v>
      </c>
      <c r="B301" s="2">
        <v>4736</v>
      </c>
      <c r="C301" s="4">
        <f>(WMT_data[[#This Row],[Último]]/B300)-1</f>
        <v>-3.786285233487563E-3</v>
      </c>
    </row>
    <row r="302" spans="1:3" x14ac:dyDescent="0.25">
      <c r="A302" s="1">
        <v>44634</v>
      </c>
      <c r="B302" s="2">
        <v>4802</v>
      </c>
      <c r="C302" s="4">
        <f>(WMT_data[[#This Row],[Último]]/B301)-1</f>
        <v>1.3935810810810745E-2</v>
      </c>
    </row>
    <row r="303" spans="1:3" x14ac:dyDescent="0.25">
      <c r="A303" s="1">
        <v>44635</v>
      </c>
      <c r="B303" s="2">
        <v>4859</v>
      </c>
      <c r="C303" s="4">
        <f>(WMT_data[[#This Row],[Último]]/B302)-1</f>
        <v>1.1870054144106579E-2</v>
      </c>
    </row>
    <row r="304" spans="1:3" x14ac:dyDescent="0.25">
      <c r="A304" s="1">
        <v>44636</v>
      </c>
      <c r="B304" s="2">
        <v>4845</v>
      </c>
      <c r="C304" s="4">
        <f>(WMT_data[[#This Row],[Último]]/B303)-1</f>
        <v>-2.8812512862729234E-3</v>
      </c>
    </row>
    <row r="305" spans="1:3" x14ac:dyDescent="0.25">
      <c r="A305" s="1">
        <v>44637</v>
      </c>
      <c r="B305" s="2">
        <v>4834</v>
      </c>
      <c r="C305" s="4">
        <f>(WMT_data[[#This Row],[Último]]/B304)-1</f>
        <v>-2.2703818369452788E-3</v>
      </c>
    </row>
    <row r="306" spans="1:3" x14ac:dyDescent="0.25">
      <c r="A306" s="1">
        <v>44638</v>
      </c>
      <c r="B306" s="2">
        <v>4848</v>
      </c>
      <c r="C306" s="4">
        <f>(WMT_data[[#This Row],[Último]]/B305)-1</f>
        <v>2.8961522548613949E-3</v>
      </c>
    </row>
    <row r="307" spans="1:3" x14ac:dyDescent="0.25">
      <c r="A307" s="1">
        <v>44641</v>
      </c>
      <c r="B307" s="2">
        <v>4808</v>
      </c>
      <c r="C307" s="4">
        <f>(WMT_data[[#This Row],[Último]]/B306)-1</f>
        <v>-8.2508250825082952E-3</v>
      </c>
    </row>
    <row r="308" spans="1:3" x14ac:dyDescent="0.25">
      <c r="A308" s="1">
        <v>44642</v>
      </c>
      <c r="B308" s="2">
        <v>4793</v>
      </c>
      <c r="C308" s="4">
        <f>(WMT_data[[#This Row],[Último]]/B307)-1</f>
        <v>-3.1198003327786994E-3</v>
      </c>
    </row>
    <row r="309" spans="1:3" x14ac:dyDescent="0.25">
      <c r="A309" s="1">
        <v>44643</v>
      </c>
      <c r="B309" s="2">
        <v>4732</v>
      </c>
      <c r="C309" s="4">
        <f>(WMT_data[[#This Row],[Último]]/B308)-1</f>
        <v>-1.2726893386188154E-2</v>
      </c>
    </row>
    <row r="310" spans="1:3" x14ac:dyDescent="0.25">
      <c r="A310" s="1">
        <v>44644</v>
      </c>
      <c r="B310" s="2">
        <v>4761</v>
      </c>
      <c r="C310" s="4">
        <f>(WMT_data[[#This Row],[Último]]/B309)-1</f>
        <v>6.128486897717611E-3</v>
      </c>
    </row>
    <row r="311" spans="1:3" x14ac:dyDescent="0.25">
      <c r="A311" s="1">
        <v>44645</v>
      </c>
      <c r="B311" s="2">
        <v>4782</v>
      </c>
      <c r="C311" s="4">
        <f>(WMT_data[[#This Row],[Último]]/B310)-1</f>
        <v>4.410838059231148E-3</v>
      </c>
    </row>
    <row r="312" spans="1:3" x14ac:dyDescent="0.25">
      <c r="A312" s="1">
        <v>44648</v>
      </c>
      <c r="B312" s="2">
        <v>4867</v>
      </c>
      <c r="C312" s="4">
        <f>(WMT_data[[#This Row],[Último]]/B311)-1</f>
        <v>1.7774989544123709E-2</v>
      </c>
    </row>
    <row r="313" spans="1:3" x14ac:dyDescent="0.25">
      <c r="A313" s="1">
        <v>44649</v>
      </c>
      <c r="B313" s="2">
        <v>4908</v>
      </c>
      <c r="C313" s="4">
        <f>(WMT_data[[#This Row],[Último]]/B312)-1</f>
        <v>8.4240805424284915E-3</v>
      </c>
    </row>
    <row r="314" spans="1:3" x14ac:dyDescent="0.25">
      <c r="A314" s="1">
        <v>44650</v>
      </c>
      <c r="B314" s="2">
        <v>4996</v>
      </c>
      <c r="C314" s="4">
        <f>(WMT_data[[#This Row],[Último]]/B313)-1</f>
        <v>1.7929910350448219E-2</v>
      </c>
    </row>
    <row r="315" spans="1:3" x14ac:dyDescent="0.25">
      <c r="A315" s="1">
        <v>44651</v>
      </c>
      <c r="B315" s="2">
        <v>4964</v>
      </c>
      <c r="C315" s="4">
        <f>(WMT_data[[#This Row],[Último]]/B314)-1</f>
        <v>-6.4051240992794023E-3</v>
      </c>
    </row>
    <row r="316" spans="1:3" x14ac:dyDescent="0.25">
      <c r="A316" s="1">
        <v>44652</v>
      </c>
      <c r="B316" s="2">
        <v>5034</v>
      </c>
      <c r="C316" s="4">
        <f>(WMT_data[[#This Row],[Último]]/B315)-1</f>
        <v>1.4101531023368308E-2</v>
      </c>
    </row>
    <row r="317" spans="1:3" x14ac:dyDescent="0.25">
      <c r="A317" s="1">
        <v>44655</v>
      </c>
      <c r="B317" s="2">
        <v>5035</v>
      </c>
      <c r="C317" s="4">
        <f>(WMT_data[[#This Row],[Último]]/B316)-1</f>
        <v>1.9864918553835764E-4</v>
      </c>
    </row>
    <row r="318" spans="1:3" x14ac:dyDescent="0.25">
      <c r="A318" s="1">
        <v>44656</v>
      </c>
      <c r="B318" s="2">
        <v>5049</v>
      </c>
      <c r="C318" s="4">
        <f>(WMT_data[[#This Row],[Último]]/B317)-1</f>
        <v>2.7805362462760552E-3</v>
      </c>
    </row>
    <row r="319" spans="1:3" x14ac:dyDescent="0.25">
      <c r="A319" s="1">
        <v>44657</v>
      </c>
      <c r="B319" s="2">
        <v>5166</v>
      </c>
      <c r="C319" s="4">
        <f>(WMT_data[[#This Row],[Último]]/B318)-1</f>
        <v>2.3172905525846721E-2</v>
      </c>
    </row>
    <row r="320" spans="1:3" x14ac:dyDescent="0.25">
      <c r="A320" s="1">
        <v>44658</v>
      </c>
      <c r="B320" s="2">
        <v>5218</v>
      </c>
      <c r="C320" s="4">
        <f>(WMT_data[[#This Row],[Último]]/B319)-1</f>
        <v>1.0065814943863716E-2</v>
      </c>
    </row>
    <row r="321" spans="1:3" x14ac:dyDescent="0.25">
      <c r="A321" s="1">
        <v>44659</v>
      </c>
      <c r="B321" s="2">
        <v>5247</v>
      </c>
      <c r="C321" s="4">
        <f>(WMT_data[[#This Row],[Último]]/B320)-1</f>
        <v>5.5576849367573455E-3</v>
      </c>
    </row>
    <row r="322" spans="1:3" x14ac:dyDescent="0.25">
      <c r="A322" s="1">
        <v>44662</v>
      </c>
      <c r="B322" s="2">
        <v>5143</v>
      </c>
      <c r="C322" s="4">
        <f>(WMT_data[[#This Row],[Último]]/B321)-1</f>
        <v>-1.9820850009529267E-2</v>
      </c>
    </row>
    <row r="323" spans="1:3" x14ac:dyDescent="0.25">
      <c r="A323" s="1">
        <v>44663</v>
      </c>
      <c r="B323" s="2">
        <v>5108</v>
      </c>
      <c r="C323" s="4">
        <f>(WMT_data[[#This Row],[Último]]/B322)-1</f>
        <v>-6.8053665175967781E-3</v>
      </c>
    </row>
    <row r="324" spans="1:3" x14ac:dyDescent="0.25">
      <c r="A324" s="1">
        <v>44664</v>
      </c>
      <c r="B324" s="2">
        <v>5241</v>
      </c>
      <c r="C324" s="4">
        <f>(WMT_data[[#This Row],[Último]]/B323)-1</f>
        <v>2.603758809710266E-2</v>
      </c>
    </row>
    <row r="325" spans="1:3" x14ac:dyDescent="0.25">
      <c r="A325" s="1">
        <v>44665</v>
      </c>
      <c r="B325" s="2">
        <v>5236</v>
      </c>
      <c r="C325" s="4">
        <f>(WMT_data[[#This Row],[Último]]/B324)-1</f>
        <v>-9.5401640908221452E-4</v>
      </c>
    </row>
    <row r="326" spans="1:3" x14ac:dyDescent="0.25">
      <c r="A326" s="1">
        <v>44669</v>
      </c>
      <c r="B326" s="2">
        <v>5196</v>
      </c>
      <c r="C326" s="4">
        <f>(WMT_data[[#This Row],[Último]]/B325)-1</f>
        <v>-7.6394194041252694E-3</v>
      </c>
    </row>
    <row r="327" spans="1:3" x14ac:dyDescent="0.25">
      <c r="A327" s="1">
        <v>44670</v>
      </c>
      <c r="B327" s="2">
        <v>5255</v>
      </c>
      <c r="C327" s="4">
        <f>(WMT_data[[#This Row],[Último]]/B326)-1</f>
        <v>1.1354888375673555E-2</v>
      </c>
    </row>
    <row r="328" spans="1:3" x14ac:dyDescent="0.25">
      <c r="A328" s="1">
        <v>44671</v>
      </c>
      <c r="B328" s="2">
        <v>5321</v>
      </c>
      <c r="C328" s="4">
        <f>(WMT_data[[#This Row],[Último]]/B327)-1</f>
        <v>1.255946717411982E-2</v>
      </c>
    </row>
    <row r="329" spans="1:3" x14ac:dyDescent="0.25">
      <c r="A329" s="1">
        <v>44672</v>
      </c>
      <c r="B329" s="2">
        <v>5329</v>
      </c>
      <c r="C329" s="4">
        <f>(WMT_data[[#This Row],[Último]]/B328)-1</f>
        <v>1.5034767900770074E-3</v>
      </c>
    </row>
    <row r="330" spans="1:3" x14ac:dyDescent="0.25">
      <c r="A330" s="1">
        <v>44673</v>
      </c>
      <c r="B330" s="2">
        <v>5229</v>
      </c>
      <c r="C330" s="4">
        <f>(WMT_data[[#This Row],[Último]]/B329)-1</f>
        <v>-1.8765246762994958E-2</v>
      </c>
    </row>
    <row r="331" spans="1:3" x14ac:dyDescent="0.25">
      <c r="A331" s="1">
        <v>44676</v>
      </c>
      <c r="B331" s="2">
        <v>5231</v>
      </c>
      <c r="C331" s="4">
        <f>(WMT_data[[#This Row],[Último]]/B330)-1</f>
        <v>3.8248231019322176E-4</v>
      </c>
    </row>
    <row r="332" spans="1:3" x14ac:dyDescent="0.25">
      <c r="A332" s="1">
        <v>44677</v>
      </c>
      <c r="B332" s="2">
        <v>5177</v>
      </c>
      <c r="C332" s="4">
        <f>(WMT_data[[#This Row],[Último]]/B331)-1</f>
        <v>-1.0323073982030251E-2</v>
      </c>
    </row>
    <row r="333" spans="1:3" x14ac:dyDescent="0.25">
      <c r="A333" s="1">
        <v>44678</v>
      </c>
      <c r="B333" s="2">
        <v>5141</v>
      </c>
      <c r="C333" s="4">
        <f>(WMT_data[[#This Row],[Último]]/B332)-1</f>
        <v>-6.9538342669499542E-3</v>
      </c>
    </row>
    <row r="334" spans="1:3" x14ac:dyDescent="0.25">
      <c r="A334" s="1">
        <v>44679</v>
      </c>
      <c r="B334" s="2">
        <v>5207</v>
      </c>
      <c r="C334" s="4">
        <f>(WMT_data[[#This Row],[Último]]/B333)-1</f>
        <v>1.2837969266679572E-2</v>
      </c>
    </row>
    <row r="335" spans="1:3" x14ac:dyDescent="0.25">
      <c r="A335" s="1">
        <v>44680</v>
      </c>
      <c r="B335" s="2">
        <v>5100</v>
      </c>
      <c r="C335" s="4">
        <f>(WMT_data[[#This Row],[Último]]/B334)-1</f>
        <v>-2.054926061071638E-2</v>
      </c>
    </row>
    <row r="336" spans="1:3" x14ac:dyDescent="0.25">
      <c r="A336" s="1">
        <v>44683</v>
      </c>
      <c r="B336" s="2">
        <v>5066</v>
      </c>
      <c r="C336" s="4">
        <f>(WMT_data[[#This Row],[Último]]/B335)-1</f>
        <v>-6.6666666666667096E-3</v>
      </c>
    </row>
    <row r="337" spans="1:3" x14ac:dyDescent="0.25">
      <c r="A337" s="1">
        <v>44684</v>
      </c>
      <c r="B337" s="2">
        <v>5084</v>
      </c>
      <c r="C337" s="4">
        <f>(WMT_data[[#This Row],[Último]]/B336)-1</f>
        <v>3.5530990919858674E-3</v>
      </c>
    </row>
    <row r="338" spans="1:3" x14ac:dyDescent="0.25">
      <c r="A338" s="1">
        <v>44685</v>
      </c>
      <c r="B338" s="2">
        <v>5154</v>
      </c>
      <c r="C338" s="4">
        <f>(WMT_data[[#This Row],[Último]]/B337)-1</f>
        <v>1.3768686073957426E-2</v>
      </c>
    </row>
    <row r="339" spans="1:3" x14ac:dyDescent="0.25">
      <c r="A339" s="1">
        <v>44686</v>
      </c>
      <c r="B339" s="2">
        <v>5091</v>
      </c>
      <c r="C339" s="4">
        <f>(WMT_data[[#This Row],[Último]]/B338)-1</f>
        <v>-1.2223515715948818E-2</v>
      </c>
    </row>
    <row r="340" spans="1:3" x14ac:dyDescent="0.25">
      <c r="A340" s="1">
        <v>44687</v>
      </c>
      <c r="B340" s="2">
        <v>4985</v>
      </c>
      <c r="C340" s="4">
        <f>(WMT_data[[#This Row],[Último]]/B339)-1</f>
        <v>-2.0821056766843427E-2</v>
      </c>
    </row>
    <row r="341" spans="1:3" x14ac:dyDescent="0.25">
      <c r="A341" s="1">
        <v>44690</v>
      </c>
      <c r="B341" s="2">
        <v>5044</v>
      </c>
      <c r="C341" s="4">
        <f>(WMT_data[[#This Row],[Último]]/B340)-1</f>
        <v>1.1835506519558781E-2</v>
      </c>
    </row>
    <row r="342" spans="1:3" x14ac:dyDescent="0.25">
      <c r="A342" s="1">
        <v>44691</v>
      </c>
      <c r="B342" s="2">
        <v>4973</v>
      </c>
      <c r="C342" s="4">
        <f>(WMT_data[[#This Row],[Último]]/B341)-1</f>
        <v>-1.4076130055511449E-2</v>
      </c>
    </row>
    <row r="343" spans="1:3" x14ac:dyDescent="0.25">
      <c r="A343" s="1">
        <v>44692</v>
      </c>
      <c r="B343" s="2">
        <v>4921</v>
      </c>
      <c r="C343" s="4">
        <f>(WMT_data[[#This Row],[Último]]/B342)-1</f>
        <v>-1.0456464910516772E-2</v>
      </c>
    </row>
    <row r="344" spans="1:3" x14ac:dyDescent="0.25">
      <c r="A344" s="1">
        <v>44693</v>
      </c>
      <c r="B344" s="2">
        <v>4916</v>
      </c>
      <c r="C344" s="4">
        <f>(WMT_data[[#This Row],[Último]]/B343)-1</f>
        <v>-1.0160536476325754E-3</v>
      </c>
    </row>
    <row r="345" spans="1:3" x14ac:dyDescent="0.25">
      <c r="A345" s="1">
        <v>44694</v>
      </c>
      <c r="B345" s="2">
        <v>4935</v>
      </c>
      <c r="C345" s="4">
        <f>(WMT_data[[#This Row],[Último]]/B344)-1</f>
        <v>3.8649308380798164E-3</v>
      </c>
    </row>
    <row r="346" spans="1:3" x14ac:dyDescent="0.25">
      <c r="A346" s="1">
        <v>44697</v>
      </c>
      <c r="B346" s="2">
        <v>4940</v>
      </c>
      <c r="C346" s="4">
        <f>(WMT_data[[#This Row],[Último]]/B345)-1</f>
        <v>1.0131712259371373E-3</v>
      </c>
    </row>
    <row r="347" spans="1:3" x14ac:dyDescent="0.25">
      <c r="A347" s="1">
        <v>44698</v>
      </c>
      <c r="B347" s="2">
        <v>4378</v>
      </c>
      <c r="C347" s="4">
        <f>(WMT_data[[#This Row],[Último]]/B346)-1</f>
        <v>-0.11376518218623477</v>
      </c>
    </row>
    <row r="348" spans="1:3" x14ac:dyDescent="0.25">
      <c r="A348" s="1">
        <v>44699</v>
      </c>
      <c r="B348" s="2">
        <v>4081</v>
      </c>
      <c r="C348" s="4">
        <f>(WMT_data[[#This Row],[Último]]/B347)-1</f>
        <v>-6.7839195979899514E-2</v>
      </c>
    </row>
    <row r="349" spans="1:3" x14ac:dyDescent="0.25">
      <c r="A349" s="1">
        <v>44700</v>
      </c>
      <c r="B349" s="2">
        <v>3969</v>
      </c>
      <c r="C349" s="4">
        <f>(WMT_data[[#This Row],[Último]]/B348)-1</f>
        <v>-2.7444253859348233E-2</v>
      </c>
    </row>
    <row r="350" spans="1:3" x14ac:dyDescent="0.25">
      <c r="A350" s="1">
        <v>44701</v>
      </c>
      <c r="B350" s="2">
        <v>3973</v>
      </c>
      <c r="C350" s="4">
        <f>(WMT_data[[#This Row],[Último]]/B349)-1</f>
        <v>1.0078105316200237E-3</v>
      </c>
    </row>
    <row r="351" spans="1:3" x14ac:dyDescent="0.25">
      <c r="A351" s="1">
        <v>44704</v>
      </c>
      <c r="B351" s="2">
        <v>4087</v>
      </c>
      <c r="C351" s="4">
        <f>(WMT_data[[#This Row],[Último]]/B350)-1</f>
        <v>2.8693682355902306E-2</v>
      </c>
    </row>
    <row r="352" spans="1:3" x14ac:dyDescent="0.25">
      <c r="A352" s="1">
        <v>44705</v>
      </c>
      <c r="B352" s="2">
        <v>4138</v>
      </c>
      <c r="C352" s="4">
        <f>(WMT_data[[#This Row],[Último]]/B351)-1</f>
        <v>1.2478590653290933E-2</v>
      </c>
    </row>
    <row r="353" spans="1:3" x14ac:dyDescent="0.25">
      <c r="A353" s="1">
        <v>44706</v>
      </c>
      <c r="B353" s="2">
        <v>4112</v>
      </c>
      <c r="C353" s="4">
        <f>(WMT_data[[#This Row],[Último]]/B352)-1</f>
        <v>-6.2832286128564618E-3</v>
      </c>
    </row>
    <row r="354" spans="1:3" x14ac:dyDescent="0.25">
      <c r="A354" s="1">
        <v>44707</v>
      </c>
      <c r="B354" s="2">
        <v>4200</v>
      </c>
      <c r="C354" s="4">
        <f>(WMT_data[[#This Row],[Último]]/B353)-1</f>
        <v>2.1400778210116655E-2</v>
      </c>
    </row>
    <row r="355" spans="1:3" x14ac:dyDescent="0.25">
      <c r="A355" s="1">
        <v>44708</v>
      </c>
      <c r="B355" s="2">
        <v>4283</v>
      </c>
      <c r="C355" s="4">
        <f>(WMT_data[[#This Row],[Último]]/B354)-1</f>
        <v>1.9761904761904869E-2</v>
      </c>
    </row>
    <row r="356" spans="1:3" x14ac:dyDescent="0.25">
      <c r="A356" s="1">
        <v>44712</v>
      </c>
      <c r="B356" s="2">
        <v>4288</v>
      </c>
      <c r="C356" s="4">
        <f>(WMT_data[[#This Row],[Último]]/B355)-1</f>
        <v>1.167406023815154E-3</v>
      </c>
    </row>
    <row r="357" spans="1:3" x14ac:dyDescent="0.25">
      <c r="A357" s="1">
        <v>44713</v>
      </c>
      <c r="B357" s="2">
        <v>4182</v>
      </c>
      <c r="C357" s="4">
        <f>(WMT_data[[#This Row],[Último]]/B356)-1</f>
        <v>-2.4720149253731338E-2</v>
      </c>
    </row>
    <row r="358" spans="1:3" x14ac:dyDescent="0.25">
      <c r="A358" s="1">
        <v>44714</v>
      </c>
      <c r="B358" s="2">
        <v>4250</v>
      </c>
      <c r="C358" s="4">
        <f>(WMT_data[[#This Row],[Último]]/B357)-1</f>
        <v>1.6260162601626105E-2</v>
      </c>
    </row>
    <row r="359" spans="1:3" x14ac:dyDescent="0.25">
      <c r="A359" s="1">
        <v>44715</v>
      </c>
      <c r="B359" s="2">
        <v>4177</v>
      </c>
      <c r="C359" s="4">
        <f>(WMT_data[[#This Row],[Último]]/B358)-1</f>
        <v>-1.7176470588235349E-2</v>
      </c>
    </row>
    <row r="360" spans="1:3" x14ac:dyDescent="0.25">
      <c r="A360" s="1">
        <v>44718</v>
      </c>
      <c r="B360" s="2">
        <v>4162</v>
      </c>
      <c r="C360" s="4">
        <f>(WMT_data[[#This Row],[Último]]/B359)-1</f>
        <v>-3.5910940866650254E-3</v>
      </c>
    </row>
    <row r="361" spans="1:3" x14ac:dyDescent="0.25">
      <c r="A361" s="1">
        <v>44719</v>
      </c>
      <c r="B361" s="2">
        <v>4112</v>
      </c>
      <c r="C361" s="4">
        <f>(WMT_data[[#This Row],[Último]]/B360)-1</f>
        <v>-1.2013455069677992E-2</v>
      </c>
    </row>
    <row r="362" spans="1:3" x14ac:dyDescent="0.25">
      <c r="A362" s="1">
        <v>44720</v>
      </c>
      <c r="B362" s="2">
        <v>4077</v>
      </c>
      <c r="C362" s="4">
        <f>(WMT_data[[#This Row],[Último]]/B361)-1</f>
        <v>-8.5116731517509425E-3</v>
      </c>
    </row>
    <row r="363" spans="1:3" x14ac:dyDescent="0.25">
      <c r="A363" s="1">
        <v>44721</v>
      </c>
      <c r="B363" s="2">
        <v>4034</v>
      </c>
      <c r="C363" s="4">
        <f>(WMT_data[[#This Row],[Último]]/B362)-1</f>
        <v>-1.0546970811871503E-2</v>
      </c>
    </row>
    <row r="364" spans="1:3" x14ac:dyDescent="0.25">
      <c r="A364" s="1">
        <v>44722</v>
      </c>
      <c r="B364" s="2">
        <v>4057</v>
      </c>
      <c r="C364" s="4">
        <f>(WMT_data[[#This Row],[Último]]/B363)-1</f>
        <v>5.701536936043583E-3</v>
      </c>
    </row>
    <row r="365" spans="1:3" x14ac:dyDescent="0.25">
      <c r="A365" s="1">
        <v>44725</v>
      </c>
      <c r="B365" s="2">
        <v>3980</v>
      </c>
      <c r="C365" s="4">
        <f>(WMT_data[[#This Row],[Último]]/B364)-1</f>
        <v>-1.8979541533152622E-2</v>
      </c>
    </row>
    <row r="366" spans="1:3" x14ac:dyDescent="0.25">
      <c r="A366" s="1">
        <v>44726</v>
      </c>
      <c r="B366" s="2">
        <v>3982</v>
      </c>
      <c r="C366" s="4">
        <f>(WMT_data[[#This Row],[Último]]/B365)-1</f>
        <v>5.0251256281397261E-4</v>
      </c>
    </row>
    <row r="367" spans="1:3" x14ac:dyDescent="0.25">
      <c r="A367" s="1">
        <v>44727</v>
      </c>
      <c r="B367" s="2">
        <v>3979</v>
      </c>
      <c r="C367" s="4">
        <f>(WMT_data[[#This Row],[Último]]/B366)-1</f>
        <v>-7.5339025615273059E-4</v>
      </c>
    </row>
    <row r="368" spans="1:3" x14ac:dyDescent="0.25">
      <c r="A368" s="1">
        <v>44728</v>
      </c>
      <c r="B368" s="2">
        <v>4021</v>
      </c>
      <c r="C368" s="4">
        <f>(WMT_data[[#This Row],[Último]]/B367)-1</f>
        <v>1.0555415933651613E-2</v>
      </c>
    </row>
    <row r="369" spans="1:3" x14ac:dyDescent="0.25">
      <c r="A369" s="1">
        <v>44729</v>
      </c>
      <c r="B369" s="2">
        <v>3943</v>
      </c>
      <c r="C369" s="4">
        <f>(WMT_data[[#This Row],[Último]]/B368)-1</f>
        <v>-1.9398159661775716E-2</v>
      </c>
    </row>
    <row r="370" spans="1:3" x14ac:dyDescent="0.25">
      <c r="A370" s="1">
        <v>44733</v>
      </c>
      <c r="B370" s="2">
        <v>4072</v>
      </c>
      <c r="C370" s="4">
        <f>(WMT_data[[#This Row],[Último]]/B369)-1</f>
        <v>3.2716205934567588E-2</v>
      </c>
    </row>
    <row r="371" spans="1:3" x14ac:dyDescent="0.25">
      <c r="A371" s="1">
        <v>44734</v>
      </c>
      <c r="B371" s="2">
        <v>4023</v>
      </c>
      <c r="C371" s="4">
        <f>(WMT_data[[#This Row],[Último]]/B370)-1</f>
        <v>-1.2033398821218122E-2</v>
      </c>
    </row>
    <row r="372" spans="1:3" x14ac:dyDescent="0.25">
      <c r="A372" s="1">
        <v>44735</v>
      </c>
      <c r="B372" s="2">
        <v>4121</v>
      </c>
      <c r="C372" s="4">
        <f>(WMT_data[[#This Row],[Último]]/B371)-1</f>
        <v>2.4359930400198904E-2</v>
      </c>
    </row>
    <row r="373" spans="1:3" x14ac:dyDescent="0.25">
      <c r="A373" s="1">
        <v>44736</v>
      </c>
      <c r="B373" s="2">
        <v>4124</v>
      </c>
      <c r="C373" s="4">
        <f>(WMT_data[[#This Row],[Último]]/B372)-1</f>
        <v>7.2797864595974815E-4</v>
      </c>
    </row>
    <row r="374" spans="1:3" x14ac:dyDescent="0.25">
      <c r="A374" s="1">
        <v>44739</v>
      </c>
      <c r="B374" s="2">
        <v>4137</v>
      </c>
      <c r="C374" s="4">
        <f>(WMT_data[[#This Row],[Último]]/B373)-1</f>
        <v>3.1522793404461513E-3</v>
      </c>
    </row>
    <row r="375" spans="1:3" x14ac:dyDescent="0.25">
      <c r="A375" s="1">
        <v>44740</v>
      </c>
      <c r="B375" s="2">
        <v>4079</v>
      </c>
      <c r="C375" s="4">
        <f>(WMT_data[[#This Row],[Último]]/B374)-1</f>
        <v>-1.4019821126420084E-2</v>
      </c>
    </row>
    <row r="376" spans="1:3" x14ac:dyDescent="0.25">
      <c r="A376" s="1">
        <v>44741</v>
      </c>
      <c r="B376" s="2">
        <v>4064</v>
      </c>
      <c r="C376" s="4">
        <f>(WMT_data[[#This Row],[Último]]/B375)-1</f>
        <v>-3.6773719048786013E-3</v>
      </c>
    </row>
    <row r="377" spans="1:3" x14ac:dyDescent="0.25">
      <c r="A377" s="1">
        <v>44742</v>
      </c>
      <c r="B377" s="2">
        <v>4053</v>
      </c>
      <c r="C377" s="4">
        <f>(WMT_data[[#This Row],[Último]]/B376)-1</f>
        <v>-2.7066929133858775E-3</v>
      </c>
    </row>
    <row r="378" spans="1:3" x14ac:dyDescent="0.25">
      <c r="A378" s="1">
        <v>44743</v>
      </c>
      <c r="B378" s="2">
        <v>4088</v>
      </c>
      <c r="C378" s="4">
        <f>(WMT_data[[#This Row],[Último]]/B377)-1</f>
        <v>8.6355785837650689E-3</v>
      </c>
    </row>
    <row r="379" spans="1:3" x14ac:dyDescent="0.25">
      <c r="A379" s="1">
        <v>44747</v>
      </c>
      <c r="B379" s="2">
        <v>4142</v>
      </c>
      <c r="C379" s="4">
        <f>(WMT_data[[#This Row],[Último]]/B378)-1</f>
        <v>1.3209393346379716E-2</v>
      </c>
    </row>
    <row r="380" spans="1:3" x14ac:dyDescent="0.25">
      <c r="A380" s="1">
        <v>44748</v>
      </c>
      <c r="B380" s="2">
        <v>4171</v>
      </c>
      <c r="C380" s="4">
        <f>(WMT_data[[#This Row],[Último]]/B379)-1</f>
        <v>7.0014485755673928E-3</v>
      </c>
    </row>
    <row r="381" spans="1:3" x14ac:dyDescent="0.25">
      <c r="A381" s="1">
        <v>44749</v>
      </c>
      <c r="B381" s="2">
        <v>4177</v>
      </c>
      <c r="C381" s="4">
        <f>(WMT_data[[#This Row],[Último]]/B380)-1</f>
        <v>1.4385039558859614E-3</v>
      </c>
    </row>
    <row r="382" spans="1:3" x14ac:dyDescent="0.25">
      <c r="A382" s="1">
        <v>44750</v>
      </c>
      <c r="B382" s="2">
        <v>4180</v>
      </c>
      <c r="C382" s="4">
        <f>(WMT_data[[#This Row],[Último]]/B381)-1</f>
        <v>7.1821881733291626E-4</v>
      </c>
    </row>
    <row r="383" spans="1:3" x14ac:dyDescent="0.25">
      <c r="A383" s="1">
        <v>44753</v>
      </c>
      <c r="B383" s="2">
        <v>4182</v>
      </c>
      <c r="C383" s="4">
        <f>(WMT_data[[#This Row],[Último]]/B382)-1</f>
        <v>4.7846889952163352E-4</v>
      </c>
    </row>
    <row r="384" spans="1:3" x14ac:dyDescent="0.25">
      <c r="A384" s="1">
        <v>44754</v>
      </c>
      <c r="B384" s="2">
        <v>4169</v>
      </c>
      <c r="C384" s="4">
        <f>(WMT_data[[#This Row],[Último]]/B383)-1</f>
        <v>-3.1085604973696279E-3</v>
      </c>
    </row>
    <row r="385" spans="1:3" x14ac:dyDescent="0.25">
      <c r="A385" s="1">
        <v>44755</v>
      </c>
      <c r="B385" s="2">
        <v>4179</v>
      </c>
      <c r="C385" s="4">
        <f>(WMT_data[[#This Row],[Último]]/B384)-1</f>
        <v>2.3986567522187308E-3</v>
      </c>
    </row>
    <row r="386" spans="1:3" x14ac:dyDescent="0.25">
      <c r="A386" s="1">
        <v>44756</v>
      </c>
      <c r="B386" s="2">
        <v>4261</v>
      </c>
      <c r="C386" s="4">
        <f>(WMT_data[[#This Row],[Último]]/B385)-1</f>
        <v>1.9621919119406472E-2</v>
      </c>
    </row>
    <row r="387" spans="1:3" x14ac:dyDescent="0.25">
      <c r="A387" s="1">
        <v>44757</v>
      </c>
      <c r="B387" s="2">
        <v>4302</v>
      </c>
      <c r="C387" s="4">
        <f>(WMT_data[[#This Row],[Último]]/B386)-1</f>
        <v>9.6221544238441759E-3</v>
      </c>
    </row>
    <row r="388" spans="1:3" x14ac:dyDescent="0.25">
      <c r="A388" s="1">
        <v>44760</v>
      </c>
      <c r="B388" s="2">
        <v>4292</v>
      </c>
      <c r="C388" s="4">
        <f>(WMT_data[[#This Row],[Último]]/B387)-1</f>
        <v>-2.3245002324500108E-3</v>
      </c>
    </row>
    <row r="389" spans="1:3" x14ac:dyDescent="0.25">
      <c r="A389" s="1">
        <v>44761</v>
      </c>
      <c r="B389" s="2">
        <v>4319</v>
      </c>
      <c r="C389" s="4">
        <f>(WMT_data[[#This Row],[Último]]/B388)-1</f>
        <v>6.2907735321529046E-3</v>
      </c>
    </row>
    <row r="390" spans="1:3" x14ac:dyDescent="0.25">
      <c r="A390" s="1">
        <v>44762</v>
      </c>
      <c r="B390" s="2">
        <v>4355</v>
      </c>
      <c r="C390" s="4">
        <f>(WMT_data[[#This Row],[Último]]/B389)-1</f>
        <v>8.3352627923130029E-3</v>
      </c>
    </row>
    <row r="391" spans="1:3" x14ac:dyDescent="0.25">
      <c r="A391" s="1">
        <v>44763</v>
      </c>
      <c r="B391" s="2">
        <v>4418</v>
      </c>
      <c r="C391" s="4">
        <f>(WMT_data[[#This Row],[Último]]/B390)-1</f>
        <v>1.4466130884041251E-2</v>
      </c>
    </row>
    <row r="392" spans="1:3" x14ac:dyDescent="0.25">
      <c r="A392" s="1">
        <v>44764</v>
      </c>
      <c r="B392" s="2">
        <v>4407</v>
      </c>
      <c r="C392" s="4">
        <f>(WMT_data[[#This Row],[Último]]/B391)-1</f>
        <v>-2.4898143956540997E-3</v>
      </c>
    </row>
    <row r="393" spans="1:3" x14ac:dyDescent="0.25">
      <c r="A393" s="1">
        <v>44767</v>
      </c>
      <c r="B393" s="2">
        <v>4401</v>
      </c>
      <c r="C393" s="4">
        <f>(WMT_data[[#This Row],[Último]]/B392)-1</f>
        <v>-1.3614703880190371E-3</v>
      </c>
    </row>
    <row r="394" spans="1:3" x14ac:dyDescent="0.25">
      <c r="A394" s="1">
        <v>44768</v>
      </c>
      <c r="B394" s="2">
        <v>4066</v>
      </c>
      <c r="C394" s="4">
        <f>(WMT_data[[#This Row],[Último]]/B393)-1</f>
        <v>-7.6119063849125146E-2</v>
      </c>
    </row>
    <row r="395" spans="1:3" x14ac:dyDescent="0.25">
      <c r="A395" s="1">
        <v>44769</v>
      </c>
      <c r="B395" s="2">
        <v>4220</v>
      </c>
      <c r="C395" s="4">
        <f>(WMT_data[[#This Row],[Último]]/B394)-1</f>
        <v>3.787506148548947E-2</v>
      </c>
    </row>
    <row r="396" spans="1:3" x14ac:dyDescent="0.25">
      <c r="A396" s="1">
        <v>44770</v>
      </c>
      <c r="B396" s="2">
        <v>4325</v>
      </c>
      <c r="C396" s="4">
        <f>(WMT_data[[#This Row],[Último]]/B395)-1</f>
        <v>2.4881516587677677E-2</v>
      </c>
    </row>
    <row r="397" spans="1:3" x14ac:dyDescent="0.25">
      <c r="A397" s="1">
        <v>44771</v>
      </c>
      <c r="B397" s="2">
        <v>4402</v>
      </c>
      <c r="C397" s="4">
        <f>(WMT_data[[#This Row],[Último]]/B396)-1</f>
        <v>1.7803468208092532E-2</v>
      </c>
    </row>
    <row r="398" spans="1:3" x14ac:dyDescent="0.25">
      <c r="A398" s="1">
        <v>44774</v>
      </c>
      <c r="B398" s="2">
        <v>4418</v>
      </c>
      <c r="C398" s="4">
        <f>(WMT_data[[#This Row],[Último]]/B397)-1</f>
        <v>3.6347114947750114E-3</v>
      </c>
    </row>
    <row r="399" spans="1:3" x14ac:dyDescent="0.25">
      <c r="A399" s="1">
        <v>44775</v>
      </c>
      <c r="B399" s="2">
        <v>4423</v>
      </c>
      <c r="C399" s="4">
        <f>(WMT_data[[#This Row],[Último]]/B398)-1</f>
        <v>1.1317338162064594E-3</v>
      </c>
    </row>
    <row r="400" spans="1:3" x14ac:dyDescent="0.25">
      <c r="A400" s="1">
        <v>44776</v>
      </c>
      <c r="B400" s="2">
        <v>4350</v>
      </c>
      <c r="C400" s="4">
        <f>(WMT_data[[#This Row],[Último]]/B399)-1</f>
        <v>-1.6504634863214962E-2</v>
      </c>
    </row>
    <row r="401" spans="1:3" x14ac:dyDescent="0.25">
      <c r="A401" s="1">
        <v>44777</v>
      </c>
      <c r="B401" s="2">
        <v>4186</v>
      </c>
      <c r="C401" s="4">
        <f>(WMT_data[[#This Row],[Último]]/B400)-1</f>
        <v>-3.770114942528735E-2</v>
      </c>
    </row>
    <row r="402" spans="1:3" x14ac:dyDescent="0.25">
      <c r="A402" s="1">
        <v>44778</v>
      </c>
      <c r="B402" s="2">
        <v>4219</v>
      </c>
      <c r="C402" s="4">
        <f>(WMT_data[[#This Row],[Último]]/B401)-1</f>
        <v>7.8834209268991984E-3</v>
      </c>
    </row>
    <row r="403" spans="1:3" x14ac:dyDescent="0.25">
      <c r="A403" s="1">
        <v>44781</v>
      </c>
      <c r="B403" s="2">
        <v>4254</v>
      </c>
      <c r="C403" s="4">
        <f>(WMT_data[[#This Row],[Último]]/B402)-1</f>
        <v>8.295804693055242E-3</v>
      </c>
    </row>
    <row r="404" spans="1:3" x14ac:dyDescent="0.25">
      <c r="A404" s="1">
        <v>44782</v>
      </c>
      <c r="B404" s="2">
        <v>4296</v>
      </c>
      <c r="C404" s="4">
        <f>(WMT_data[[#This Row],[Último]]/B403)-1</f>
        <v>9.873060648801113E-3</v>
      </c>
    </row>
    <row r="405" spans="1:3" x14ac:dyDescent="0.25">
      <c r="A405" s="1">
        <v>44783</v>
      </c>
      <c r="B405" s="2">
        <v>4305</v>
      </c>
      <c r="C405" s="4">
        <f>(WMT_data[[#This Row],[Último]]/B404)-1</f>
        <v>2.0949720670391248E-3</v>
      </c>
    </row>
    <row r="406" spans="1:3" x14ac:dyDescent="0.25">
      <c r="A406" s="1">
        <v>44784</v>
      </c>
      <c r="B406" s="2">
        <v>4327</v>
      </c>
      <c r="C406" s="4">
        <f>(WMT_data[[#This Row],[Último]]/B405)-1</f>
        <v>5.1103368176539377E-3</v>
      </c>
    </row>
    <row r="407" spans="1:3" x14ac:dyDescent="0.25">
      <c r="A407" s="1">
        <v>44785</v>
      </c>
      <c r="B407" s="2">
        <v>4407</v>
      </c>
      <c r="C407" s="4">
        <f>(WMT_data[[#This Row],[Último]]/B406)-1</f>
        <v>1.8488560203374194E-2</v>
      </c>
    </row>
    <row r="408" spans="1:3" x14ac:dyDescent="0.25">
      <c r="A408" s="1">
        <v>44788</v>
      </c>
      <c r="B408" s="2">
        <v>4420</v>
      </c>
      <c r="C408" s="4">
        <f>(WMT_data[[#This Row],[Último]]/B407)-1</f>
        <v>2.9498525073745618E-3</v>
      </c>
    </row>
    <row r="409" spans="1:3" x14ac:dyDescent="0.25">
      <c r="A409" s="1">
        <v>44789</v>
      </c>
      <c r="B409" s="2">
        <v>4646</v>
      </c>
      <c r="C409" s="4">
        <f>(WMT_data[[#This Row],[Último]]/B408)-1</f>
        <v>5.1131221719457054E-2</v>
      </c>
    </row>
    <row r="410" spans="1:3" x14ac:dyDescent="0.25">
      <c r="A410" s="1">
        <v>44790</v>
      </c>
      <c r="B410" s="2">
        <v>4651</v>
      </c>
      <c r="C410" s="4">
        <f>(WMT_data[[#This Row],[Último]]/B409)-1</f>
        <v>1.0761945759794056E-3</v>
      </c>
    </row>
    <row r="411" spans="1:3" x14ac:dyDescent="0.25">
      <c r="A411" s="1">
        <v>44791</v>
      </c>
      <c r="B411" s="2">
        <v>4636</v>
      </c>
      <c r="C411" s="4">
        <f>(WMT_data[[#This Row],[Último]]/B410)-1</f>
        <v>-3.2251128789507755E-3</v>
      </c>
    </row>
    <row r="412" spans="1:3" x14ac:dyDescent="0.25">
      <c r="A412" s="1">
        <v>44792</v>
      </c>
      <c r="B412" s="2">
        <v>4567</v>
      </c>
      <c r="C412" s="4">
        <f>(WMT_data[[#This Row],[Último]]/B411)-1</f>
        <v>-1.4883520276100071E-2</v>
      </c>
    </row>
    <row r="413" spans="1:3" x14ac:dyDescent="0.25">
      <c r="A413" s="1">
        <v>44795</v>
      </c>
      <c r="B413" s="2">
        <v>4486</v>
      </c>
      <c r="C413" s="4">
        <f>(WMT_data[[#This Row],[Último]]/B412)-1</f>
        <v>-1.7735931683818706E-2</v>
      </c>
    </row>
    <row r="414" spans="1:3" x14ac:dyDescent="0.25">
      <c r="A414" s="1">
        <v>44796</v>
      </c>
      <c r="B414" s="2">
        <v>4467</v>
      </c>
      <c r="C414" s="4">
        <f>(WMT_data[[#This Row],[Último]]/B413)-1</f>
        <v>-4.2353990191708046E-3</v>
      </c>
    </row>
    <row r="415" spans="1:3" x14ac:dyDescent="0.25">
      <c r="A415" s="1">
        <v>44797</v>
      </c>
      <c r="B415" s="2">
        <v>4499</v>
      </c>
      <c r="C415" s="4">
        <f>(WMT_data[[#This Row],[Último]]/B414)-1</f>
        <v>7.1636445041414198E-3</v>
      </c>
    </row>
    <row r="416" spans="1:3" x14ac:dyDescent="0.25">
      <c r="A416" s="1">
        <v>44798</v>
      </c>
      <c r="B416" s="2">
        <v>4529</v>
      </c>
      <c r="C416" s="4">
        <f>(WMT_data[[#This Row],[Último]]/B415)-1</f>
        <v>6.6681484774393507E-3</v>
      </c>
    </row>
    <row r="417" spans="1:3" x14ac:dyDescent="0.25">
      <c r="A417" s="1">
        <v>44799</v>
      </c>
      <c r="B417" s="2">
        <v>4387</v>
      </c>
      <c r="C417" s="4">
        <f>(WMT_data[[#This Row],[Último]]/B416)-1</f>
        <v>-3.1353499668801077E-2</v>
      </c>
    </row>
    <row r="418" spans="1:3" x14ac:dyDescent="0.25">
      <c r="A418" s="1">
        <v>44802</v>
      </c>
      <c r="B418" s="2">
        <v>4429</v>
      </c>
      <c r="C418" s="4">
        <f>(WMT_data[[#This Row],[Último]]/B417)-1</f>
        <v>9.5737405972191603E-3</v>
      </c>
    </row>
    <row r="419" spans="1:3" x14ac:dyDescent="0.25">
      <c r="A419" s="1">
        <v>44803</v>
      </c>
      <c r="B419" s="2">
        <v>4416</v>
      </c>
      <c r="C419" s="4">
        <f>(WMT_data[[#This Row],[Último]]/B418)-1</f>
        <v>-2.9351998193722917E-3</v>
      </c>
    </row>
    <row r="420" spans="1:3" x14ac:dyDescent="0.25">
      <c r="A420" s="1">
        <v>44804</v>
      </c>
      <c r="B420" s="2">
        <v>4418</v>
      </c>
      <c r="C420" s="4">
        <f>(WMT_data[[#This Row],[Último]]/B419)-1</f>
        <v>4.5289855072461194E-4</v>
      </c>
    </row>
    <row r="421" spans="1:3" x14ac:dyDescent="0.25">
      <c r="A421" s="1">
        <v>44805</v>
      </c>
      <c r="B421" s="2">
        <v>4483</v>
      </c>
      <c r="C421" s="4">
        <f>(WMT_data[[#This Row],[Último]]/B420)-1</f>
        <v>1.4712539610683528E-2</v>
      </c>
    </row>
    <row r="422" spans="1:3" x14ac:dyDescent="0.25">
      <c r="A422" s="1">
        <v>44806</v>
      </c>
      <c r="B422" s="2">
        <v>4433</v>
      </c>
      <c r="C422" s="4">
        <f>(WMT_data[[#This Row],[Último]]/B421)-1</f>
        <v>-1.1153245594467953E-2</v>
      </c>
    </row>
    <row r="423" spans="1:3" x14ac:dyDescent="0.25">
      <c r="A423" s="1">
        <v>44810</v>
      </c>
      <c r="B423" s="2">
        <v>4411</v>
      </c>
      <c r="C423" s="4">
        <f>(WMT_data[[#This Row],[Último]]/B422)-1</f>
        <v>-4.9627791563275903E-3</v>
      </c>
    </row>
    <row r="424" spans="1:3" x14ac:dyDescent="0.25">
      <c r="A424" s="1">
        <v>44811</v>
      </c>
      <c r="B424" s="2">
        <v>4525</v>
      </c>
      <c r="C424" s="4">
        <f>(WMT_data[[#This Row],[Último]]/B423)-1</f>
        <v>2.5844479709816293E-2</v>
      </c>
    </row>
    <row r="425" spans="1:3" x14ac:dyDescent="0.25">
      <c r="A425" s="1">
        <v>44812</v>
      </c>
      <c r="B425" s="2">
        <v>4548</v>
      </c>
      <c r="C425" s="4">
        <f>(WMT_data[[#This Row],[Último]]/B424)-1</f>
        <v>5.0828729281768847E-3</v>
      </c>
    </row>
    <row r="426" spans="1:3" x14ac:dyDescent="0.25">
      <c r="A426" s="1">
        <v>44813</v>
      </c>
      <c r="B426" s="2">
        <v>4561</v>
      </c>
      <c r="C426" s="4">
        <f>(WMT_data[[#This Row],[Último]]/B425)-1</f>
        <v>2.8583992963939764E-3</v>
      </c>
    </row>
    <row r="427" spans="1:3" x14ac:dyDescent="0.25">
      <c r="A427" s="1">
        <v>44816</v>
      </c>
      <c r="B427" s="2">
        <v>4602</v>
      </c>
      <c r="C427" s="4">
        <f>(WMT_data[[#This Row],[Último]]/B426)-1</f>
        <v>8.9892567419425085E-3</v>
      </c>
    </row>
    <row r="428" spans="1:3" x14ac:dyDescent="0.25">
      <c r="A428" s="1">
        <v>44817</v>
      </c>
      <c r="B428" s="2">
        <v>4507</v>
      </c>
      <c r="C428" s="4">
        <f>(WMT_data[[#This Row],[Último]]/B427)-1</f>
        <v>-2.0643198609300306E-2</v>
      </c>
    </row>
    <row r="429" spans="1:3" x14ac:dyDescent="0.25">
      <c r="A429" s="1">
        <v>44818</v>
      </c>
      <c r="B429" s="2">
        <v>4497</v>
      </c>
      <c r="C429" s="4">
        <f>(WMT_data[[#This Row],[Último]]/B428)-1</f>
        <v>-2.2187708009762108E-3</v>
      </c>
    </row>
    <row r="430" spans="1:3" x14ac:dyDescent="0.25">
      <c r="A430" s="1">
        <v>44819</v>
      </c>
      <c r="B430" s="2">
        <v>4449</v>
      </c>
      <c r="C430" s="4">
        <f>(WMT_data[[#This Row],[Último]]/B429)-1</f>
        <v>-1.0673782521681163E-2</v>
      </c>
    </row>
    <row r="431" spans="1:3" x14ac:dyDescent="0.25">
      <c r="A431" s="1">
        <v>44820</v>
      </c>
      <c r="B431" s="2">
        <v>4440</v>
      </c>
      <c r="C431" s="4">
        <f>(WMT_data[[#This Row],[Último]]/B430)-1</f>
        <v>-2.0229265003371966E-3</v>
      </c>
    </row>
    <row r="432" spans="1:3" x14ac:dyDescent="0.25">
      <c r="A432" s="1">
        <v>44823</v>
      </c>
      <c r="B432" s="2">
        <v>4478</v>
      </c>
      <c r="C432" s="4">
        <f>(WMT_data[[#This Row],[Último]]/B431)-1</f>
        <v>8.5585585585585822E-3</v>
      </c>
    </row>
    <row r="433" spans="1:3" x14ac:dyDescent="0.25">
      <c r="A433" s="1">
        <v>44824</v>
      </c>
      <c r="B433" s="2">
        <v>4452</v>
      </c>
      <c r="C433" s="4">
        <f>(WMT_data[[#This Row],[Último]]/B432)-1</f>
        <v>-5.8061634658329586E-3</v>
      </c>
    </row>
    <row r="434" spans="1:3" x14ac:dyDescent="0.25">
      <c r="A434" s="1">
        <v>44825</v>
      </c>
      <c r="B434" s="2">
        <v>4492</v>
      </c>
      <c r="C434" s="4">
        <f>(WMT_data[[#This Row],[Último]]/B433)-1</f>
        <v>8.9847259658579759E-3</v>
      </c>
    </row>
    <row r="435" spans="1:3" x14ac:dyDescent="0.25">
      <c r="A435" s="1">
        <v>44826</v>
      </c>
      <c r="B435" s="2">
        <v>4446</v>
      </c>
      <c r="C435" s="4">
        <f>(WMT_data[[#This Row],[Último]]/B434)-1</f>
        <v>-1.0240427426536081E-2</v>
      </c>
    </row>
    <row r="436" spans="1:3" x14ac:dyDescent="0.25">
      <c r="A436" s="1">
        <v>44827</v>
      </c>
      <c r="B436" s="2">
        <v>4335</v>
      </c>
      <c r="C436" s="4">
        <f>(WMT_data[[#This Row],[Último]]/B435)-1</f>
        <v>-2.496626180836703E-2</v>
      </c>
    </row>
    <row r="437" spans="1:3" x14ac:dyDescent="0.25">
      <c r="A437" s="1">
        <v>44830</v>
      </c>
      <c r="B437" s="2">
        <v>4377</v>
      </c>
      <c r="C437" s="4">
        <f>(WMT_data[[#This Row],[Último]]/B436)-1</f>
        <v>9.6885813148788191E-3</v>
      </c>
    </row>
    <row r="438" spans="1:3" x14ac:dyDescent="0.25">
      <c r="A438" s="1">
        <v>44831</v>
      </c>
      <c r="B438" s="2">
        <v>4365</v>
      </c>
      <c r="C438" s="4">
        <f>(WMT_data[[#This Row],[Último]]/B437)-1</f>
        <v>-2.7416038382453989E-3</v>
      </c>
    </row>
    <row r="439" spans="1:3" x14ac:dyDescent="0.25">
      <c r="A439" s="1">
        <v>44832</v>
      </c>
      <c r="B439" s="2">
        <v>4437</v>
      </c>
      <c r="C439" s="4">
        <f>(WMT_data[[#This Row],[Último]]/B438)-1</f>
        <v>1.6494845360824684E-2</v>
      </c>
    </row>
    <row r="440" spans="1:3" x14ac:dyDescent="0.25">
      <c r="A440" s="1">
        <v>44833</v>
      </c>
      <c r="B440" s="2">
        <v>4408</v>
      </c>
      <c r="C440" s="4">
        <f>(WMT_data[[#This Row],[Último]]/B439)-1</f>
        <v>-6.5359477124182774E-3</v>
      </c>
    </row>
    <row r="441" spans="1:3" x14ac:dyDescent="0.25">
      <c r="A441" s="1">
        <v>44834</v>
      </c>
      <c r="B441" s="2">
        <v>4323</v>
      </c>
      <c r="C441" s="4">
        <f>(WMT_data[[#This Row],[Último]]/B440)-1</f>
        <v>-1.928312159709622E-2</v>
      </c>
    </row>
    <row r="442" spans="1:3" x14ac:dyDescent="0.25">
      <c r="A442" s="1">
        <v>44837</v>
      </c>
      <c r="B442" s="2">
        <v>4418</v>
      </c>
      <c r="C442" s="4">
        <f>(WMT_data[[#This Row],[Último]]/B441)-1</f>
        <v>2.1975479990747226E-2</v>
      </c>
    </row>
    <row r="443" spans="1:3" x14ac:dyDescent="0.25">
      <c r="A443" s="1">
        <v>44838</v>
      </c>
      <c r="B443" s="2">
        <v>4475</v>
      </c>
      <c r="C443" s="4">
        <f>(WMT_data[[#This Row],[Último]]/B442)-1</f>
        <v>1.2901765504753193E-2</v>
      </c>
    </row>
    <row r="444" spans="1:3" x14ac:dyDescent="0.25">
      <c r="A444" s="1">
        <v>44839</v>
      </c>
      <c r="B444" s="2">
        <v>4431</v>
      </c>
      <c r="C444" s="4">
        <f>(WMT_data[[#This Row],[Último]]/B443)-1</f>
        <v>-9.8324022346368833E-3</v>
      </c>
    </row>
    <row r="445" spans="1:3" x14ac:dyDescent="0.25">
      <c r="A445" s="1">
        <v>44840</v>
      </c>
      <c r="B445" s="2">
        <v>4389</v>
      </c>
      <c r="C445" s="4">
        <f>(WMT_data[[#This Row],[Último]]/B444)-1</f>
        <v>-9.4786729857819774E-3</v>
      </c>
    </row>
    <row r="446" spans="1:3" x14ac:dyDescent="0.25">
      <c r="A446" s="1">
        <v>44841</v>
      </c>
      <c r="B446" s="2">
        <v>4285</v>
      </c>
      <c r="C446" s="4">
        <f>(WMT_data[[#This Row],[Último]]/B445)-1</f>
        <v>-2.3695602642971103E-2</v>
      </c>
    </row>
    <row r="447" spans="1:3" x14ac:dyDescent="0.25">
      <c r="A447" s="1">
        <v>44844</v>
      </c>
      <c r="B447" s="2">
        <v>4311</v>
      </c>
      <c r="C447" s="4">
        <f>(WMT_data[[#This Row],[Último]]/B446)-1</f>
        <v>6.0676779463244568E-3</v>
      </c>
    </row>
    <row r="448" spans="1:3" x14ac:dyDescent="0.25">
      <c r="A448" s="1">
        <v>44845</v>
      </c>
      <c r="B448" s="2">
        <v>4422</v>
      </c>
      <c r="C448" s="4">
        <f>(WMT_data[[#This Row],[Último]]/B447)-1</f>
        <v>2.5748086290883876E-2</v>
      </c>
    </row>
    <row r="449" spans="1:3" x14ac:dyDescent="0.25">
      <c r="A449" s="1">
        <v>44846</v>
      </c>
      <c r="B449" s="2">
        <v>4372</v>
      </c>
      <c r="C449" s="4">
        <f>(WMT_data[[#This Row],[Último]]/B448)-1</f>
        <v>-1.1307100859339614E-2</v>
      </c>
    </row>
    <row r="450" spans="1:3" x14ac:dyDescent="0.25">
      <c r="A450" s="1">
        <v>44847</v>
      </c>
      <c r="B450" s="2">
        <v>4409</v>
      </c>
      <c r="C450" s="4">
        <f>(WMT_data[[#This Row],[Último]]/B449)-1</f>
        <v>8.4629460201279816E-3</v>
      </c>
    </row>
    <row r="451" spans="1:3" x14ac:dyDescent="0.25">
      <c r="A451" s="1">
        <v>44848</v>
      </c>
      <c r="B451" s="2">
        <v>4348</v>
      </c>
      <c r="C451" s="4">
        <f>(WMT_data[[#This Row],[Último]]/B450)-1</f>
        <v>-1.3835336811068299E-2</v>
      </c>
    </row>
    <row r="452" spans="1:3" x14ac:dyDescent="0.25">
      <c r="A452" s="1">
        <v>44851</v>
      </c>
      <c r="B452" s="2">
        <v>4379</v>
      </c>
      <c r="C452" s="4">
        <f>(WMT_data[[#This Row],[Último]]/B451)-1</f>
        <v>7.1297148114075615E-3</v>
      </c>
    </row>
    <row r="453" spans="1:3" x14ac:dyDescent="0.25">
      <c r="A453" s="1">
        <v>44852</v>
      </c>
      <c r="B453" s="2">
        <v>4471</v>
      </c>
      <c r="C453" s="4">
        <f>(WMT_data[[#This Row],[Último]]/B452)-1</f>
        <v>2.1009362868234849E-2</v>
      </c>
    </row>
    <row r="454" spans="1:3" x14ac:dyDescent="0.25">
      <c r="A454" s="1">
        <v>44853</v>
      </c>
      <c r="B454" s="2">
        <v>4459</v>
      </c>
      <c r="C454" s="4">
        <f>(WMT_data[[#This Row],[Último]]/B453)-1</f>
        <v>-2.6839633191679813E-3</v>
      </c>
    </row>
    <row r="455" spans="1:3" x14ac:dyDescent="0.25">
      <c r="A455" s="1">
        <v>44854</v>
      </c>
      <c r="B455" s="2">
        <v>4470</v>
      </c>
      <c r="C455" s="4">
        <f>(WMT_data[[#This Row],[Último]]/B454)-1</f>
        <v>2.4669208342678051E-3</v>
      </c>
    </row>
    <row r="456" spans="1:3" x14ac:dyDescent="0.25">
      <c r="A456" s="1">
        <v>44855</v>
      </c>
      <c r="B456" s="2">
        <v>4560</v>
      </c>
      <c r="C456" s="4">
        <f>(WMT_data[[#This Row],[Último]]/B455)-1</f>
        <v>2.0134228187919545E-2</v>
      </c>
    </row>
    <row r="457" spans="1:3" x14ac:dyDescent="0.25">
      <c r="A457" s="1">
        <v>44858</v>
      </c>
      <c r="B457" s="2">
        <v>4647</v>
      </c>
      <c r="C457" s="4">
        <f>(WMT_data[[#This Row],[Último]]/B456)-1</f>
        <v>1.9078947368420973E-2</v>
      </c>
    </row>
    <row r="458" spans="1:3" x14ac:dyDescent="0.25">
      <c r="A458" s="1">
        <v>44859</v>
      </c>
      <c r="B458" s="2">
        <v>4669</v>
      </c>
      <c r="C458" s="4">
        <f>(WMT_data[[#This Row],[Último]]/B457)-1</f>
        <v>4.7342371422423035E-3</v>
      </c>
    </row>
    <row r="459" spans="1:3" x14ac:dyDescent="0.25">
      <c r="A459" s="1">
        <v>44860</v>
      </c>
      <c r="B459" s="2">
        <v>4705</v>
      </c>
      <c r="C459" s="4">
        <f>(WMT_data[[#This Row],[Último]]/B458)-1</f>
        <v>7.7104304990363026E-3</v>
      </c>
    </row>
    <row r="460" spans="1:3" x14ac:dyDescent="0.25">
      <c r="A460" s="1">
        <v>44861</v>
      </c>
      <c r="B460" s="2">
        <v>4691</v>
      </c>
      <c r="C460" s="4">
        <f>(WMT_data[[#This Row],[Último]]/B459)-1</f>
        <v>-2.9755579171094615E-3</v>
      </c>
    </row>
    <row r="461" spans="1:3" x14ac:dyDescent="0.25">
      <c r="A461" s="1">
        <v>44862</v>
      </c>
      <c r="B461" s="2">
        <v>4750</v>
      </c>
      <c r="C461" s="4">
        <f>(WMT_data[[#This Row],[Último]]/B460)-1</f>
        <v>1.2577275634193086E-2</v>
      </c>
    </row>
    <row r="462" spans="1:3" x14ac:dyDescent="0.25">
      <c r="A462" s="1">
        <v>44865</v>
      </c>
      <c r="B462" s="2">
        <v>4744</v>
      </c>
      <c r="C462" s="4">
        <f>(WMT_data[[#This Row],[Último]]/B461)-1</f>
        <v>-1.2631578947368549E-3</v>
      </c>
    </row>
    <row r="463" spans="1:3" x14ac:dyDescent="0.25">
      <c r="A463" s="1">
        <v>44866</v>
      </c>
      <c r="B463" s="2">
        <v>4723</v>
      </c>
      <c r="C463" s="4">
        <f>(WMT_data[[#This Row],[Último]]/B462)-1</f>
        <v>-4.4266441821247948E-3</v>
      </c>
    </row>
    <row r="464" spans="1:3" x14ac:dyDescent="0.25">
      <c r="A464" s="1">
        <v>44867</v>
      </c>
      <c r="B464" s="2">
        <v>4692</v>
      </c>
      <c r="C464" s="4">
        <f>(WMT_data[[#This Row],[Último]]/B463)-1</f>
        <v>-6.5636248147363796E-3</v>
      </c>
    </row>
    <row r="465" spans="1:3" x14ac:dyDescent="0.25">
      <c r="A465" s="1">
        <v>44868</v>
      </c>
      <c r="B465" s="2">
        <v>4691</v>
      </c>
      <c r="C465" s="4">
        <f>(WMT_data[[#This Row],[Último]]/B464)-1</f>
        <v>-2.1312872975276509E-4</v>
      </c>
    </row>
    <row r="466" spans="1:3" x14ac:dyDescent="0.25">
      <c r="A466" s="1">
        <v>44869</v>
      </c>
      <c r="B466" s="2">
        <v>4699</v>
      </c>
      <c r="C466" s="4">
        <f>(WMT_data[[#This Row],[Último]]/B465)-1</f>
        <v>1.7053933063313487E-3</v>
      </c>
    </row>
    <row r="467" spans="1:3" x14ac:dyDescent="0.25">
      <c r="A467" s="1">
        <v>44872</v>
      </c>
      <c r="B467" s="2">
        <v>4748</v>
      </c>
      <c r="C467" s="4">
        <f>(WMT_data[[#This Row],[Último]]/B466)-1</f>
        <v>1.0427750585230822E-2</v>
      </c>
    </row>
    <row r="468" spans="1:3" x14ac:dyDescent="0.25">
      <c r="A468" s="1">
        <v>44873</v>
      </c>
      <c r="B468" s="2">
        <v>4760</v>
      </c>
      <c r="C468" s="4">
        <f>(WMT_data[[#This Row],[Último]]/B467)-1</f>
        <v>2.5273799494522908E-3</v>
      </c>
    </row>
    <row r="469" spans="1:3" x14ac:dyDescent="0.25">
      <c r="A469" s="1">
        <v>44874</v>
      </c>
      <c r="B469" s="2">
        <v>4649</v>
      </c>
      <c r="C469" s="4">
        <f>(WMT_data[[#This Row],[Último]]/B468)-1</f>
        <v>-2.3319327731092465E-2</v>
      </c>
    </row>
    <row r="470" spans="1:3" x14ac:dyDescent="0.25">
      <c r="A470" s="1">
        <v>44875</v>
      </c>
      <c r="B470" s="2">
        <v>4745</v>
      </c>
      <c r="C470" s="4">
        <f>(WMT_data[[#This Row],[Último]]/B469)-1</f>
        <v>2.0649602064960249E-2</v>
      </c>
    </row>
    <row r="471" spans="1:3" x14ac:dyDescent="0.25">
      <c r="A471" s="1">
        <v>44876</v>
      </c>
      <c r="B471" s="2">
        <v>4753</v>
      </c>
      <c r="C471" s="4">
        <f>(WMT_data[[#This Row],[Último]]/B470)-1</f>
        <v>1.6859852476289738E-3</v>
      </c>
    </row>
    <row r="472" spans="1:3" x14ac:dyDescent="0.25">
      <c r="A472" s="1">
        <v>44879</v>
      </c>
      <c r="B472" s="2">
        <v>4613</v>
      </c>
      <c r="C472" s="4">
        <f>(WMT_data[[#This Row],[Último]]/B471)-1</f>
        <v>-2.945508100147276E-2</v>
      </c>
    </row>
    <row r="473" spans="1:3" x14ac:dyDescent="0.25">
      <c r="A473" s="1">
        <v>44880</v>
      </c>
      <c r="B473" s="2">
        <v>4915</v>
      </c>
      <c r="C473" s="4">
        <f>(WMT_data[[#This Row],[Último]]/B472)-1</f>
        <v>6.5467158031649708E-2</v>
      </c>
    </row>
    <row r="474" spans="1:3" x14ac:dyDescent="0.25">
      <c r="A474" s="1">
        <v>44881</v>
      </c>
      <c r="B474" s="2">
        <v>4950</v>
      </c>
      <c r="C474" s="4">
        <f>(WMT_data[[#This Row],[Último]]/B473)-1</f>
        <v>7.1210579857579059E-3</v>
      </c>
    </row>
    <row r="475" spans="1:3" x14ac:dyDescent="0.25">
      <c r="A475" s="1">
        <v>44882</v>
      </c>
      <c r="B475" s="2">
        <v>4933</v>
      </c>
      <c r="C475" s="4">
        <f>(WMT_data[[#This Row],[Último]]/B474)-1</f>
        <v>-3.4343434343434565E-3</v>
      </c>
    </row>
    <row r="476" spans="1:3" x14ac:dyDescent="0.25">
      <c r="A476" s="1">
        <v>44883</v>
      </c>
      <c r="B476" s="2">
        <v>5008</v>
      </c>
      <c r="C476" s="4">
        <f>(WMT_data[[#This Row],[Último]]/B475)-1</f>
        <v>1.5203729981755565E-2</v>
      </c>
    </row>
    <row r="477" spans="1:3" x14ac:dyDescent="0.25">
      <c r="A477" s="1">
        <v>44886</v>
      </c>
      <c r="B477" s="2">
        <v>5038</v>
      </c>
      <c r="C477" s="4">
        <f>(WMT_data[[#This Row],[Último]]/B476)-1</f>
        <v>5.990415335463295E-3</v>
      </c>
    </row>
    <row r="478" spans="1:3" x14ac:dyDescent="0.25">
      <c r="A478" s="1">
        <v>44887</v>
      </c>
      <c r="B478" s="2">
        <v>5056</v>
      </c>
      <c r="C478" s="4">
        <f>(WMT_data[[#This Row],[Último]]/B477)-1</f>
        <v>3.5728463676061306E-3</v>
      </c>
    </row>
    <row r="479" spans="1:3" x14ac:dyDescent="0.25">
      <c r="A479" s="1">
        <v>44888</v>
      </c>
      <c r="B479" s="2">
        <v>5081</v>
      </c>
      <c r="C479" s="4">
        <f>(WMT_data[[#This Row],[Último]]/B478)-1</f>
        <v>4.9446202531646666E-3</v>
      </c>
    </row>
    <row r="480" spans="1:3" x14ac:dyDescent="0.25">
      <c r="A480" s="1">
        <v>44890</v>
      </c>
      <c r="B480" s="2">
        <v>5102</v>
      </c>
      <c r="C480" s="4">
        <f>(WMT_data[[#This Row],[Último]]/B479)-1</f>
        <v>4.133044676244868E-3</v>
      </c>
    </row>
    <row r="481" spans="1:3" x14ac:dyDescent="0.25">
      <c r="A481" s="1">
        <v>44893</v>
      </c>
      <c r="B481" s="2">
        <v>5117</v>
      </c>
      <c r="C481" s="4">
        <f>(WMT_data[[#This Row],[Último]]/B480)-1</f>
        <v>2.9400235201881841E-3</v>
      </c>
    </row>
    <row r="482" spans="1:3" x14ac:dyDescent="0.25">
      <c r="A482" s="1">
        <v>44894</v>
      </c>
      <c r="B482" s="2">
        <v>5099</v>
      </c>
      <c r="C482" s="4">
        <f>(WMT_data[[#This Row],[Último]]/B481)-1</f>
        <v>-3.5176861442250962E-3</v>
      </c>
    </row>
    <row r="483" spans="1:3" x14ac:dyDescent="0.25">
      <c r="A483" s="1">
        <v>44895</v>
      </c>
      <c r="B483" s="2">
        <v>5081</v>
      </c>
      <c r="C483" s="4">
        <f>(WMT_data[[#This Row],[Último]]/B482)-1</f>
        <v>-3.530103941949414E-3</v>
      </c>
    </row>
    <row r="484" spans="1:3" x14ac:dyDescent="0.25">
      <c r="A484" s="1">
        <v>44896</v>
      </c>
      <c r="B484" s="2">
        <v>5112</v>
      </c>
      <c r="C484" s="4">
        <f>(WMT_data[[#This Row],[Último]]/B483)-1</f>
        <v>6.1011611887422657E-3</v>
      </c>
    </row>
    <row r="485" spans="1:3" x14ac:dyDescent="0.25">
      <c r="A485" s="1">
        <v>44897</v>
      </c>
      <c r="B485" s="2">
        <v>5107</v>
      </c>
      <c r="C485" s="4">
        <f>(WMT_data[[#This Row],[Último]]/B484)-1</f>
        <v>-9.7809076682320306E-4</v>
      </c>
    </row>
    <row r="486" spans="1:3" x14ac:dyDescent="0.25">
      <c r="A486" s="1">
        <v>44900</v>
      </c>
      <c r="B486" s="2">
        <v>5055</v>
      </c>
      <c r="C486" s="4">
        <f>(WMT_data[[#This Row],[Último]]/B485)-1</f>
        <v>-1.0182102995887954E-2</v>
      </c>
    </row>
    <row r="487" spans="1:3" x14ac:dyDescent="0.25">
      <c r="A487" s="1">
        <v>44901</v>
      </c>
      <c r="B487" s="2">
        <v>4996</v>
      </c>
      <c r="C487" s="4">
        <f>(WMT_data[[#This Row],[Último]]/B486)-1</f>
        <v>-1.1671612265084064E-2</v>
      </c>
    </row>
    <row r="488" spans="1:3" x14ac:dyDescent="0.25">
      <c r="A488" s="1">
        <v>44902</v>
      </c>
      <c r="B488" s="2">
        <v>4970</v>
      </c>
      <c r="C488" s="4">
        <f>(WMT_data[[#This Row],[Último]]/B487)-1</f>
        <v>-5.2041633306645352E-3</v>
      </c>
    </row>
    <row r="489" spans="1:3" x14ac:dyDescent="0.25">
      <c r="A489" s="1">
        <v>44903</v>
      </c>
      <c r="B489" s="2">
        <v>4959</v>
      </c>
      <c r="C489" s="4">
        <f>(WMT_data[[#This Row],[Último]]/B488)-1</f>
        <v>-2.2132796780683917E-3</v>
      </c>
    </row>
    <row r="490" spans="1:3" x14ac:dyDescent="0.25">
      <c r="A490" s="1">
        <v>44904</v>
      </c>
      <c r="B490" s="2">
        <v>4844</v>
      </c>
      <c r="C490" s="4">
        <f>(WMT_data[[#This Row],[Último]]/B489)-1</f>
        <v>-2.3190159306311742E-2</v>
      </c>
    </row>
    <row r="491" spans="1:3" x14ac:dyDescent="0.25">
      <c r="A491" s="1">
        <v>44907</v>
      </c>
      <c r="B491" s="2">
        <v>4934</v>
      </c>
      <c r="C491" s="4">
        <f>(WMT_data[[#This Row],[Último]]/B490)-1</f>
        <v>1.857968620974404E-2</v>
      </c>
    </row>
    <row r="492" spans="1:3" x14ac:dyDescent="0.25">
      <c r="A492" s="1">
        <v>44908</v>
      </c>
      <c r="B492" s="2">
        <v>4916</v>
      </c>
      <c r="C492" s="4">
        <f>(WMT_data[[#This Row],[Último]]/B491)-1</f>
        <v>-3.6481556546412719E-3</v>
      </c>
    </row>
    <row r="493" spans="1:3" x14ac:dyDescent="0.25">
      <c r="A493" s="1">
        <v>44909</v>
      </c>
      <c r="B493" s="2">
        <v>4889</v>
      </c>
      <c r="C493" s="4">
        <f>(WMT_data[[#This Row],[Último]]/B492)-1</f>
        <v>-5.4922701383238737E-3</v>
      </c>
    </row>
    <row r="494" spans="1:3" x14ac:dyDescent="0.25">
      <c r="A494" s="1">
        <v>44910</v>
      </c>
      <c r="B494" s="2">
        <v>4845</v>
      </c>
      <c r="C494" s="4">
        <f>(WMT_data[[#This Row],[Último]]/B493)-1</f>
        <v>-8.9997954591941598E-3</v>
      </c>
    </row>
    <row r="495" spans="1:3" x14ac:dyDescent="0.25">
      <c r="A495" s="1">
        <v>44911</v>
      </c>
      <c r="B495" s="2">
        <v>4758</v>
      </c>
      <c r="C495" s="4">
        <f>(WMT_data[[#This Row],[Último]]/B494)-1</f>
        <v>-1.7956656346749256E-2</v>
      </c>
    </row>
    <row r="496" spans="1:3" x14ac:dyDescent="0.25">
      <c r="A496" s="1">
        <v>44914</v>
      </c>
      <c r="B496" s="2">
        <v>4760</v>
      </c>
      <c r="C496" s="4">
        <f>(WMT_data[[#This Row],[Último]]/B495)-1</f>
        <v>4.2034468263985048E-4</v>
      </c>
    </row>
    <row r="497" spans="1:3" x14ac:dyDescent="0.25">
      <c r="A497" s="1">
        <v>44915</v>
      </c>
      <c r="B497" s="2">
        <v>4802</v>
      </c>
      <c r="C497" s="4">
        <f>(WMT_data[[#This Row],[Último]]/B496)-1</f>
        <v>8.8235294117646745E-3</v>
      </c>
    </row>
    <row r="498" spans="1:3" x14ac:dyDescent="0.25">
      <c r="A498" s="1">
        <v>44916</v>
      </c>
      <c r="B498" s="2">
        <v>4839</v>
      </c>
      <c r="C498" s="4">
        <f>(WMT_data[[#This Row],[Último]]/B497)-1</f>
        <v>7.7051228654727577E-3</v>
      </c>
    </row>
    <row r="499" spans="1:3" x14ac:dyDescent="0.25">
      <c r="A499" s="1">
        <v>44917</v>
      </c>
      <c r="B499" s="2">
        <v>4783</v>
      </c>
      <c r="C499" s="4">
        <f>(WMT_data[[#This Row],[Último]]/B498)-1</f>
        <v>-1.1572638974994831E-2</v>
      </c>
    </row>
    <row r="500" spans="1:3" x14ac:dyDescent="0.25">
      <c r="A500" s="1">
        <v>44918</v>
      </c>
      <c r="B500" s="2">
        <v>4792</v>
      </c>
      <c r="C500" s="4">
        <f>(WMT_data[[#This Row],[Último]]/B499)-1</f>
        <v>1.8816642274723794E-3</v>
      </c>
    </row>
    <row r="501" spans="1:3" x14ac:dyDescent="0.25">
      <c r="A501" s="1">
        <v>44922</v>
      </c>
      <c r="B501" s="2">
        <v>4794</v>
      </c>
      <c r="C501" s="4">
        <f>(WMT_data[[#This Row],[Último]]/B500)-1</f>
        <v>4.1736227045086061E-4</v>
      </c>
    </row>
    <row r="502" spans="1:3" x14ac:dyDescent="0.25">
      <c r="A502" s="1">
        <v>44923</v>
      </c>
      <c r="B502" s="2">
        <v>4710</v>
      </c>
      <c r="C502" s="4">
        <f>(WMT_data[[#This Row],[Último]]/B501)-1</f>
        <v>-1.7521902377972465E-2</v>
      </c>
    </row>
    <row r="503" spans="1:3" x14ac:dyDescent="0.25">
      <c r="A503" s="1">
        <v>44924</v>
      </c>
      <c r="B503" s="2">
        <v>4738</v>
      </c>
      <c r="C503" s="4">
        <f>(WMT_data[[#This Row],[Último]]/B502)-1</f>
        <v>5.9447983014861983E-3</v>
      </c>
    </row>
    <row r="504" spans="1:3" x14ac:dyDescent="0.25">
      <c r="A504" s="1">
        <v>44925</v>
      </c>
      <c r="B504" s="2">
        <v>4726</v>
      </c>
      <c r="C504" s="4">
        <f>(WMT_data[[#This Row],[Último]]/B503)-1</f>
        <v>-2.5327142254115698E-3</v>
      </c>
    </row>
    <row r="505" spans="1:3" x14ac:dyDescent="0.25">
      <c r="A505" s="1">
        <v>44929</v>
      </c>
      <c r="B505" s="2">
        <v>4787</v>
      </c>
      <c r="C505" s="4">
        <f>(WMT_data[[#This Row],[Último]]/B504)-1</f>
        <v>1.2907321201861999E-2</v>
      </c>
    </row>
    <row r="506" spans="1:3" x14ac:dyDescent="0.25">
      <c r="A506" s="1">
        <v>44930</v>
      </c>
      <c r="B506" s="2">
        <v>4792</v>
      </c>
      <c r="C506" s="4">
        <f>(WMT_data[[#This Row],[Último]]/B505)-1</f>
        <v>1.044495508669252E-3</v>
      </c>
    </row>
    <row r="507" spans="1:3" x14ac:dyDescent="0.25">
      <c r="A507" s="1">
        <v>44931</v>
      </c>
      <c r="B507" s="2">
        <v>4776</v>
      </c>
      <c r="C507" s="4">
        <f>(WMT_data[[#This Row],[Último]]/B506)-1</f>
        <v>-3.3388981636059967E-3</v>
      </c>
    </row>
    <row r="508" spans="1:3" x14ac:dyDescent="0.25">
      <c r="A508" s="1">
        <v>44932</v>
      </c>
      <c r="B508" s="2">
        <v>4893</v>
      </c>
      <c r="C508" s="4">
        <f>(WMT_data[[#This Row],[Último]]/B507)-1</f>
        <v>2.4497487437185939E-2</v>
      </c>
    </row>
    <row r="509" spans="1:3" x14ac:dyDescent="0.25">
      <c r="A509" s="1">
        <v>44935</v>
      </c>
      <c r="B509" s="2">
        <v>4832</v>
      </c>
      <c r="C509" s="4">
        <f>(WMT_data[[#This Row],[Último]]/B508)-1</f>
        <v>-1.2466789290823677E-2</v>
      </c>
    </row>
    <row r="510" spans="1:3" x14ac:dyDescent="0.25">
      <c r="A510" s="1">
        <v>44936</v>
      </c>
      <c r="B510" s="2">
        <v>4829</v>
      </c>
      <c r="C510" s="4">
        <f>(WMT_data[[#This Row],[Último]]/B509)-1</f>
        <v>-6.2086092715230023E-4</v>
      </c>
    </row>
    <row r="511" spans="1:3" x14ac:dyDescent="0.25">
      <c r="A511" s="1">
        <v>44937</v>
      </c>
      <c r="B511" s="2">
        <v>4871</v>
      </c>
      <c r="C511" s="4">
        <f>(WMT_data[[#This Row],[Último]]/B510)-1</f>
        <v>8.6974528887968638E-3</v>
      </c>
    </row>
    <row r="512" spans="1:3" x14ac:dyDescent="0.25">
      <c r="A512" s="1">
        <v>44938</v>
      </c>
      <c r="B512" s="2">
        <v>4827</v>
      </c>
      <c r="C512" s="4">
        <f>(WMT_data[[#This Row],[Último]]/B511)-1</f>
        <v>-9.0330527612400013E-3</v>
      </c>
    </row>
    <row r="513" spans="1:3" x14ac:dyDescent="0.25">
      <c r="A513" s="1">
        <v>44939</v>
      </c>
      <c r="B513" s="2">
        <v>4843</v>
      </c>
      <c r="C513" s="4">
        <f>(WMT_data[[#This Row],[Último]]/B512)-1</f>
        <v>3.3146882121399823E-3</v>
      </c>
    </row>
    <row r="514" spans="1:3" x14ac:dyDescent="0.25">
      <c r="A514" s="1">
        <v>44943</v>
      </c>
      <c r="B514" s="2">
        <v>4814</v>
      </c>
      <c r="C514" s="4">
        <f>(WMT_data[[#This Row],[Último]]/B513)-1</f>
        <v>-5.9880239520958556E-3</v>
      </c>
    </row>
    <row r="515" spans="1:3" x14ac:dyDescent="0.25">
      <c r="A515" s="1">
        <v>44944</v>
      </c>
      <c r="B515" s="2">
        <v>4695</v>
      </c>
      <c r="C515" s="4">
        <f>(WMT_data[[#This Row],[Último]]/B514)-1</f>
        <v>-2.4719567926879904E-2</v>
      </c>
    </row>
    <row r="516" spans="1:3" x14ac:dyDescent="0.25">
      <c r="A516" s="1">
        <v>44945</v>
      </c>
      <c r="B516" s="2">
        <v>4628</v>
      </c>
      <c r="C516" s="4">
        <f>(WMT_data[[#This Row],[Último]]/B515)-1</f>
        <v>-1.4270500532481356E-2</v>
      </c>
    </row>
    <row r="517" spans="1:3" x14ac:dyDescent="0.25">
      <c r="A517" s="1">
        <v>44946</v>
      </c>
      <c r="B517" s="2">
        <v>4685</v>
      </c>
      <c r="C517" s="4">
        <f>(WMT_data[[#This Row],[Último]]/B516)-1</f>
        <v>1.2316335350043284E-2</v>
      </c>
    </row>
    <row r="518" spans="1:3" x14ac:dyDescent="0.25">
      <c r="A518" s="1">
        <v>44949</v>
      </c>
      <c r="B518" s="2">
        <v>4755</v>
      </c>
      <c r="C518" s="4">
        <f>(WMT_data[[#This Row],[Último]]/B517)-1</f>
        <v>1.4941302027748238E-2</v>
      </c>
    </row>
    <row r="519" spans="1:3" x14ac:dyDescent="0.25">
      <c r="A519" s="1">
        <v>44950</v>
      </c>
      <c r="B519" s="2">
        <v>4767</v>
      </c>
      <c r="C519" s="4">
        <f>(WMT_data[[#This Row],[Último]]/B518)-1</f>
        <v>2.5236593059936308E-3</v>
      </c>
    </row>
    <row r="520" spans="1:3" x14ac:dyDescent="0.25">
      <c r="A520" s="1">
        <v>44951</v>
      </c>
      <c r="B520" s="2">
        <v>4745</v>
      </c>
      <c r="C520" s="4">
        <f>(WMT_data[[#This Row],[Último]]/B519)-1</f>
        <v>-4.6150618837843549E-3</v>
      </c>
    </row>
    <row r="521" spans="1:3" x14ac:dyDescent="0.25">
      <c r="A521" s="1">
        <v>44952</v>
      </c>
      <c r="B521" s="2">
        <v>4740</v>
      </c>
      <c r="C521" s="4">
        <f>(WMT_data[[#This Row],[Último]]/B520)-1</f>
        <v>-1.0537407797681642E-3</v>
      </c>
    </row>
    <row r="522" spans="1:3" x14ac:dyDescent="0.25">
      <c r="A522" s="1">
        <v>44953</v>
      </c>
      <c r="B522" s="2">
        <v>4777</v>
      </c>
      <c r="C522" s="4">
        <f>(WMT_data[[#This Row],[Último]]/B521)-1</f>
        <v>7.8059071729956742E-3</v>
      </c>
    </row>
    <row r="523" spans="1:3" x14ac:dyDescent="0.25">
      <c r="A523" s="1">
        <v>44956</v>
      </c>
      <c r="B523" s="2">
        <v>4738</v>
      </c>
      <c r="C523" s="4">
        <f>(WMT_data[[#This Row],[Último]]/B522)-1</f>
        <v>-8.1641197404228594E-3</v>
      </c>
    </row>
    <row r="524" spans="1:3" x14ac:dyDescent="0.25">
      <c r="A524" s="1">
        <v>44957</v>
      </c>
      <c r="B524" s="2">
        <v>4796</v>
      </c>
      <c r="C524" s="4">
        <f>(WMT_data[[#This Row],[Último]]/B523)-1</f>
        <v>1.2241452089489346E-2</v>
      </c>
    </row>
    <row r="525" spans="1:3" x14ac:dyDescent="0.25">
      <c r="A525" s="1">
        <v>44958</v>
      </c>
      <c r="B525" s="2">
        <v>4822</v>
      </c>
      <c r="C525" s="4">
        <f>(WMT_data[[#This Row],[Último]]/B524)-1</f>
        <v>5.4211843202669474E-3</v>
      </c>
    </row>
    <row r="526" spans="1:3" x14ac:dyDescent="0.25">
      <c r="A526" s="1">
        <v>44959</v>
      </c>
      <c r="B526" s="2">
        <v>4787</v>
      </c>
      <c r="C526" s="4">
        <f>(WMT_data[[#This Row],[Último]]/B525)-1</f>
        <v>-7.258399004562377E-3</v>
      </c>
    </row>
    <row r="527" spans="1:3" x14ac:dyDescent="0.25">
      <c r="A527" s="1">
        <v>44960</v>
      </c>
      <c r="B527" s="2">
        <v>4724</v>
      </c>
      <c r="C527" s="4">
        <f>(WMT_data[[#This Row],[Último]]/B526)-1</f>
        <v>-1.3160643409233286E-2</v>
      </c>
    </row>
    <row r="528" spans="1:3" x14ac:dyDescent="0.25">
      <c r="A528" s="1">
        <v>44963</v>
      </c>
      <c r="B528" s="2">
        <v>4689</v>
      </c>
      <c r="C528" s="4">
        <f>(WMT_data[[#This Row],[Último]]/B527)-1</f>
        <v>-7.4089754445385569E-3</v>
      </c>
    </row>
    <row r="529" spans="1:3" x14ac:dyDescent="0.25">
      <c r="A529" s="1">
        <v>44964</v>
      </c>
      <c r="B529" s="2">
        <v>4699</v>
      </c>
      <c r="C529" s="4">
        <f>(WMT_data[[#This Row],[Último]]/B528)-1</f>
        <v>2.1326508850501025E-3</v>
      </c>
    </row>
    <row r="530" spans="1:3" x14ac:dyDescent="0.25">
      <c r="A530" s="1">
        <v>44965</v>
      </c>
      <c r="B530" s="2">
        <v>4674</v>
      </c>
      <c r="C530" s="4">
        <f>(WMT_data[[#This Row],[Último]]/B529)-1</f>
        <v>-5.3202809108321425E-3</v>
      </c>
    </row>
    <row r="531" spans="1:3" x14ac:dyDescent="0.25">
      <c r="A531" s="1">
        <v>44966</v>
      </c>
      <c r="B531" s="2">
        <v>4717</v>
      </c>
      <c r="C531" s="4">
        <f>(WMT_data[[#This Row],[Último]]/B530)-1</f>
        <v>9.199828840393609E-3</v>
      </c>
    </row>
    <row r="532" spans="1:3" x14ac:dyDescent="0.25">
      <c r="A532" s="1">
        <v>44967</v>
      </c>
      <c r="B532" s="2">
        <v>4791</v>
      </c>
      <c r="C532" s="4">
        <f>(WMT_data[[#This Row],[Último]]/B531)-1</f>
        <v>1.5687937248251016E-2</v>
      </c>
    </row>
    <row r="533" spans="1:3" x14ac:dyDescent="0.25">
      <c r="A533" s="1">
        <v>44970</v>
      </c>
      <c r="B533" s="2">
        <v>4864</v>
      </c>
      <c r="C533" s="4">
        <f>(WMT_data[[#This Row],[Último]]/B532)-1</f>
        <v>1.5236902525568752E-2</v>
      </c>
    </row>
    <row r="534" spans="1:3" x14ac:dyDescent="0.25">
      <c r="A534" s="1">
        <v>44971</v>
      </c>
      <c r="B534" s="2">
        <v>4850</v>
      </c>
      <c r="C534" s="4">
        <f>(WMT_data[[#This Row],[Último]]/B533)-1</f>
        <v>-2.8782894736841813E-3</v>
      </c>
    </row>
    <row r="535" spans="1:3" x14ac:dyDescent="0.25">
      <c r="A535" s="1">
        <v>44972</v>
      </c>
      <c r="B535" s="2">
        <v>4886</v>
      </c>
      <c r="C535" s="4">
        <f>(WMT_data[[#This Row],[Último]]/B534)-1</f>
        <v>7.4226804123711521E-3</v>
      </c>
    </row>
    <row r="536" spans="1:3" x14ac:dyDescent="0.25">
      <c r="A536" s="1">
        <v>44973</v>
      </c>
      <c r="B536" s="2">
        <v>4809</v>
      </c>
      <c r="C536" s="4">
        <f>(WMT_data[[#This Row],[Último]]/B535)-1</f>
        <v>-1.5759312320916874E-2</v>
      </c>
    </row>
    <row r="537" spans="1:3" x14ac:dyDescent="0.25">
      <c r="A537" s="1">
        <v>44974</v>
      </c>
      <c r="B537" s="2">
        <v>4881</v>
      </c>
      <c r="C537" s="4">
        <f>(WMT_data[[#This Row],[Último]]/B536)-1</f>
        <v>1.4971927635683002E-2</v>
      </c>
    </row>
    <row r="538" spans="1:3" x14ac:dyDescent="0.25">
      <c r="A538" s="1">
        <v>44978</v>
      </c>
      <c r="B538" s="2">
        <v>4911</v>
      </c>
      <c r="C538" s="4">
        <f>(WMT_data[[#This Row],[Último]]/B537)-1</f>
        <v>6.1462814996926518E-3</v>
      </c>
    </row>
    <row r="539" spans="1:3" x14ac:dyDescent="0.25">
      <c r="A539" s="1">
        <v>44979</v>
      </c>
      <c r="B539" s="2">
        <v>4808</v>
      </c>
      <c r="C539" s="4">
        <f>(WMT_data[[#This Row],[Último]]/B538)-1</f>
        <v>-2.0973325188352709E-2</v>
      </c>
    </row>
    <row r="540" spans="1:3" x14ac:dyDescent="0.25">
      <c r="A540" s="1">
        <v>44980</v>
      </c>
      <c r="B540" s="2">
        <v>4736</v>
      </c>
      <c r="C540" s="4">
        <f>(WMT_data[[#This Row],[Último]]/B539)-1</f>
        <v>-1.4975041597337757E-2</v>
      </c>
    </row>
    <row r="541" spans="1:3" x14ac:dyDescent="0.25">
      <c r="A541" s="1">
        <v>44981</v>
      </c>
      <c r="B541" s="2">
        <v>4749</v>
      </c>
      <c r="C541" s="4">
        <f>(WMT_data[[#This Row],[Último]]/B540)-1</f>
        <v>2.7449324324324564E-3</v>
      </c>
    </row>
    <row r="542" spans="1:3" x14ac:dyDescent="0.25">
      <c r="A542" s="1">
        <v>44984</v>
      </c>
      <c r="B542" s="2">
        <v>4715</v>
      </c>
      <c r="C542" s="4">
        <f>(WMT_data[[#This Row],[Último]]/B541)-1</f>
        <v>-7.159401979364044E-3</v>
      </c>
    </row>
    <row r="543" spans="1:3" x14ac:dyDescent="0.25">
      <c r="A543" s="1">
        <v>44985</v>
      </c>
      <c r="B543" s="2">
        <v>4738</v>
      </c>
      <c r="C543" s="4">
        <f>(WMT_data[[#This Row],[Último]]/B542)-1</f>
        <v>4.8780487804878092E-3</v>
      </c>
    </row>
    <row r="544" spans="1:3" x14ac:dyDescent="0.25">
      <c r="A544" s="1">
        <v>44986</v>
      </c>
      <c r="B544" s="2">
        <v>4672</v>
      </c>
      <c r="C544" s="4">
        <f>(WMT_data[[#This Row],[Último]]/B543)-1</f>
        <v>-1.3929928239763578E-2</v>
      </c>
    </row>
    <row r="545" spans="1:3" x14ac:dyDescent="0.25">
      <c r="A545" s="1">
        <v>44987</v>
      </c>
      <c r="B545" s="2">
        <v>4683</v>
      </c>
      <c r="C545" s="4">
        <f>(WMT_data[[#This Row],[Último]]/B544)-1</f>
        <v>2.3544520547944536E-3</v>
      </c>
    </row>
    <row r="546" spans="1:3" x14ac:dyDescent="0.25">
      <c r="A546" s="1">
        <v>44988</v>
      </c>
      <c r="B546" s="2">
        <v>4689</v>
      </c>
      <c r="C546" s="4">
        <f>(WMT_data[[#This Row],[Último]]/B545)-1</f>
        <v>1.2812299807816174E-3</v>
      </c>
    </row>
    <row r="547" spans="1:3" x14ac:dyDescent="0.25">
      <c r="A547" s="1">
        <v>44991</v>
      </c>
      <c r="B547" s="2">
        <v>4688</v>
      </c>
      <c r="C547" s="4">
        <f>(WMT_data[[#This Row],[Último]]/B546)-1</f>
        <v>-2.1326508850505466E-4</v>
      </c>
    </row>
    <row r="548" spans="1:3" x14ac:dyDescent="0.25">
      <c r="A548" s="1">
        <v>44992</v>
      </c>
      <c r="B548" s="2">
        <v>4642</v>
      </c>
      <c r="C548" s="4">
        <f>(WMT_data[[#This Row],[Último]]/B547)-1</f>
        <v>-9.8122866894198024E-3</v>
      </c>
    </row>
    <row r="549" spans="1:3" x14ac:dyDescent="0.25">
      <c r="A549" s="1">
        <v>44993</v>
      </c>
      <c r="B549" s="2">
        <v>4603</v>
      </c>
      <c r="C549" s="4">
        <f>(WMT_data[[#This Row],[Último]]/B548)-1</f>
        <v>-8.4015510555794926E-3</v>
      </c>
    </row>
    <row r="550" spans="1:3" x14ac:dyDescent="0.25">
      <c r="A550" s="1">
        <v>44994</v>
      </c>
      <c r="B550" s="2">
        <v>4572</v>
      </c>
      <c r="C550" s="4">
        <f>(WMT_data[[#This Row],[Último]]/B549)-1</f>
        <v>-6.7347382142081136E-3</v>
      </c>
    </row>
    <row r="551" spans="1:3" x14ac:dyDescent="0.25">
      <c r="A551" s="1">
        <v>44995</v>
      </c>
      <c r="B551" s="2">
        <v>4566</v>
      </c>
      <c r="C551" s="4">
        <f>(WMT_data[[#This Row],[Último]]/B550)-1</f>
        <v>-1.312335958005284E-3</v>
      </c>
    </row>
    <row r="552" spans="1:3" x14ac:dyDescent="0.25">
      <c r="A552" s="1">
        <v>44998</v>
      </c>
      <c r="B552" s="2">
        <v>4579</v>
      </c>
      <c r="C552" s="4">
        <f>(WMT_data[[#This Row],[Último]]/B551)-1</f>
        <v>2.8471309680244694E-3</v>
      </c>
    </row>
    <row r="553" spans="1:3" x14ac:dyDescent="0.25">
      <c r="A553" s="1">
        <v>44999</v>
      </c>
      <c r="B553" s="2">
        <v>4603</v>
      </c>
      <c r="C553" s="4">
        <f>(WMT_data[[#This Row],[Último]]/B552)-1</f>
        <v>5.2413190652980113E-3</v>
      </c>
    </row>
    <row r="554" spans="1:3" x14ac:dyDescent="0.25">
      <c r="A554" s="1">
        <v>45000</v>
      </c>
      <c r="B554" s="2">
        <v>4655</v>
      </c>
      <c r="C554" s="4">
        <f>(WMT_data[[#This Row],[Último]]/B553)-1</f>
        <v>1.1296980230284692E-2</v>
      </c>
    </row>
    <row r="555" spans="1:3" x14ac:dyDescent="0.25">
      <c r="A555" s="1">
        <v>45001</v>
      </c>
      <c r="B555" s="2">
        <v>4609</v>
      </c>
      <c r="C555" s="4">
        <f>(WMT_data[[#This Row],[Último]]/B554)-1</f>
        <v>-9.8818474758324282E-3</v>
      </c>
    </row>
    <row r="556" spans="1:3" x14ac:dyDescent="0.25">
      <c r="A556" s="1">
        <v>45002</v>
      </c>
      <c r="B556" s="2">
        <v>4647</v>
      </c>
      <c r="C556" s="4">
        <f>(WMT_data[[#This Row],[Último]]/B555)-1</f>
        <v>8.2447385550010743E-3</v>
      </c>
    </row>
    <row r="557" spans="1:3" x14ac:dyDescent="0.25">
      <c r="A557" s="1">
        <v>45005</v>
      </c>
      <c r="B557" s="2">
        <v>4697</v>
      </c>
      <c r="C557" s="4">
        <f>(WMT_data[[#This Row],[Último]]/B556)-1</f>
        <v>1.0759629868732468E-2</v>
      </c>
    </row>
    <row r="558" spans="1:3" x14ac:dyDescent="0.25">
      <c r="A558" s="1">
        <v>45006</v>
      </c>
      <c r="B558" s="2">
        <v>4681</v>
      </c>
      <c r="C558" s="4">
        <f>(WMT_data[[#This Row],[Último]]/B557)-1</f>
        <v>-3.4064296359378465E-3</v>
      </c>
    </row>
    <row r="559" spans="1:3" x14ac:dyDescent="0.25">
      <c r="A559" s="1">
        <v>45007</v>
      </c>
      <c r="B559" s="2">
        <v>4651</v>
      </c>
      <c r="C559" s="4">
        <f>(WMT_data[[#This Row],[Último]]/B558)-1</f>
        <v>-6.4088869899594503E-3</v>
      </c>
    </row>
    <row r="560" spans="1:3" x14ac:dyDescent="0.25">
      <c r="A560" s="1">
        <v>45008</v>
      </c>
      <c r="B560" s="2">
        <v>4688</v>
      </c>
      <c r="C560" s="4">
        <f>(WMT_data[[#This Row],[Último]]/B559)-1</f>
        <v>7.9552784347451944E-3</v>
      </c>
    </row>
    <row r="561" spans="1:3" x14ac:dyDescent="0.25">
      <c r="A561" s="1">
        <v>45009</v>
      </c>
      <c r="B561" s="2">
        <v>4727</v>
      </c>
      <c r="C561" s="4">
        <f>(WMT_data[[#This Row],[Último]]/B560)-1</f>
        <v>8.319112627986458E-3</v>
      </c>
    </row>
    <row r="562" spans="1:3" x14ac:dyDescent="0.25">
      <c r="A562" s="1">
        <v>45012</v>
      </c>
      <c r="B562" s="2">
        <v>4806</v>
      </c>
      <c r="C562" s="4">
        <f>(WMT_data[[#This Row],[Último]]/B561)-1</f>
        <v>1.6712502644383287E-2</v>
      </c>
    </row>
    <row r="563" spans="1:3" x14ac:dyDescent="0.25">
      <c r="A563" s="1">
        <v>45013</v>
      </c>
      <c r="B563" s="2">
        <v>4787</v>
      </c>
      <c r="C563" s="4">
        <f>(WMT_data[[#This Row],[Último]]/B562)-1</f>
        <v>-3.9533915938410047E-3</v>
      </c>
    </row>
    <row r="564" spans="1:3" x14ac:dyDescent="0.25">
      <c r="A564" s="1">
        <v>45014</v>
      </c>
      <c r="B564" s="2">
        <v>4808</v>
      </c>
      <c r="C564" s="4">
        <f>(WMT_data[[#This Row],[Último]]/B563)-1</f>
        <v>4.3868811364111693E-3</v>
      </c>
    </row>
    <row r="565" spans="1:3" x14ac:dyDescent="0.25">
      <c r="A565" s="1">
        <v>45015</v>
      </c>
      <c r="B565" s="2">
        <v>4856</v>
      </c>
      <c r="C565" s="4">
        <f>(WMT_data[[#This Row],[Último]]/B564)-1</f>
        <v>9.9833610648918381E-3</v>
      </c>
    </row>
    <row r="566" spans="1:3" x14ac:dyDescent="0.25">
      <c r="A566" s="1">
        <v>45016</v>
      </c>
      <c r="B566" s="2">
        <v>4915</v>
      </c>
      <c r="C566" s="4">
        <f>(WMT_data[[#This Row],[Último]]/B565)-1</f>
        <v>1.2149917627677143E-2</v>
      </c>
    </row>
    <row r="567" spans="1:3" x14ac:dyDescent="0.25">
      <c r="A567" s="1">
        <v>45019</v>
      </c>
      <c r="B567" s="2">
        <v>4956</v>
      </c>
      <c r="C567" s="4">
        <f>(WMT_data[[#This Row],[Último]]/B566)-1</f>
        <v>8.3418107833164168E-3</v>
      </c>
    </row>
    <row r="568" spans="1:3" x14ac:dyDescent="0.25">
      <c r="A568" s="1">
        <v>45020</v>
      </c>
      <c r="B568" s="2">
        <v>4908</v>
      </c>
      <c r="C568" s="4">
        <f>(WMT_data[[#This Row],[Último]]/B567)-1</f>
        <v>-9.6852300242130651E-3</v>
      </c>
    </row>
    <row r="569" spans="1:3" x14ac:dyDescent="0.25">
      <c r="A569" s="1">
        <v>45021</v>
      </c>
      <c r="B569" s="2">
        <v>4989</v>
      </c>
      <c r="C569" s="4">
        <f>(WMT_data[[#This Row],[Último]]/B568)-1</f>
        <v>1.6503667481662543E-2</v>
      </c>
    </row>
    <row r="570" spans="1:3" x14ac:dyDescent="0.25">
      <c r="A570" s="1">
        <v>45022</v>
      </c>
      <c r="B570" s="2">
        <v>5027</v>
      </c>
      <c r="C570" s="4">
        <f>(WMT_data[[#This Row],[Último]]/B569)-1</f>
        <v>7.6167568651033246E-3</v>
      </c>
    </row>
    <row r="571" spans="1:3" x14ac:dyDescent="0.25">
      <c r="A571" s="1">
        <v>45026</v>
      </c>
      <c r="B571" s="2">
        <v>5017</v>
      </c>
      <c r="C571" s="4">
        <f>(WMT_data[[#This Row],[Último]]/B570)-1</f>
        <v>-1.9892580067635279E-3</v>
      </c>
    </row>
    <row r="572" spans="1:3" x14ac:dyDescent="0.25">
      <c r="A572" s="1">
        <v>45027</v>
      </c>
      <c r="B572" s="2">
        <v>5002</v>
      </c>
      <c r="C572" s="4">
        <f>(WMT_data[[#This Row],[Último]]/B571)-1</f>
        <v>-2.9898345624875811E-3</v>
      </c>
    </row>
    <row r="573" spans="1:3" x14ac:dyDescent="0.25">
      <c r="A573" s="1">
        <v>45028</v>
      </c>
      <c r="B573" s="2">
        <v>4978</v>
      </c>
      <c r="C573" s="4">
        <f>(WMT_data[[#This Row],[Último]]/B572)-1</f>
        <v>-4.7980807676929471E-3</v>
      </c>
    </row>
    <row r="574" spans="1:3" x14ac:dyDescent="0.25">
      <c r="A574" s="1">
        <v>45029</v>
      </c>
      <c r="B574" s="2">
        <v>4983</v>
      </c>
      <c r="C574" s="4">
        <f>(WMT_data[[#This Row],[Último]]/B573)-1</f>
        <v>1.0044194455605115E-3</v>
      </c>
    </row>
    <row r="575" spans="1:3" x14ac:dyDescent="0.25">
      <c r="A575" s="1">
        <v>45030</v>
      </c>
      <c r="B575" s="2">
        <v>4949</v>
      </c>
      <c r="C575" s="4">
        <f>(WMT_data[[#This Row],[Último]]/B574)-1</f>
        <v>-6.823198876178993E-3</v>
      </c>
    </row>
    <row r="576" spans="1:3" x14ac:dyDescent="0.25">
      <c r="A576" s="1">
        <v>45033</v>
      </c>
      <c r="B576" s="2">
        <v>4984</v>
      </c>
      <c r="C576" s="4">
        <f>(WMT_data[[#This Row],[Último]]/B575)-1</f>
        <v>7.0721357850069833E-3</v>
      </c>
    </row>
    <row r="577" spans="1:3" x14ac:dyDescent="0.25">
      <c r="A577" s="1">
        <v>45034</v>
      </c>
      <c r="B577" s="2">
        <v>4995</v>
      </c>
      <c r="C577" s="4">
        <f>(WMT_data[[#This Row],[Último]]/B576)-1</f>
        <v>2.207062600320997E-3</v>
      </c>
    </row>
    <row r="578" spans="1:3" x14ac:dyDescent="0.25">
      <c r="A578" s="1">
        <v>45035</v>
      </c>
      <c r="B578" s="2">
        <v>5000</v>
      </c>
      <c r="C578" s="4">
        <f>(WMT_data[[#This Row],[Último]]/B577)-1</f>
        <v>1.0010010010010895E-3</v>
      </c>
    </row>
    <row r="579" spans="1:3" x14ac:dyDescent="0.25">
      <c r="A579" s="1">
        <v>45036</v>
      </c>
      <c r="B579" s="2">
        <v>5032</v>
      </c>
      <c r="C579" s="4">
        <f>(WMT_data[[#This Row],[Último]]/B578)-1</f>
        <v>6.3999999999999613E-3</v>
      </c>
    </row>
    <row r="580" spans="1:3" x14ac:dyDescent="0.25">
      <c r="A580" s="1">
        <v>45037</v>
      </c>
      <c r="B580" s="2">
        <v>5058</v>
      </c>
      <c r="C580" s="4">
        <f>(WMT_data[[#This Row],[Último]]/B579)-1</f>
        <v>5.1669316375198004E-3</v>
      </c>
    </row>
    <row r="581" spans="1:3" x14ac:dyDescent="0.25">
      <c r="A581" s="1">
        <v>45040</v>
      </c>
      <c r="B581" s="2">
        <v>5092</v>
      </c>
      <c r="C581" s="4">
        <f>(WMT_data[[#This Row],[Último]]/B580)-1</f>
        <v>6.722024515618763E-3</v>
      </c>
    </row>
    <row r="582" spans="1:3" x14ac:dyDescent="0.25">
      <c r="A582" s="1">
        <v>45041</v>
      </c>
      <c r="B582" s="2">
        <v>5052</v>
      </c>
      <c r="C582" s="4">
        <f>(WMT_data[[#This Row],[Último]]/B581)-1</f>
        <v>-7.8554595443833808E-3</v>
      </c>
    </row>
    <row r="583" spans="1:3" x14ac:dyDescent="0.25">
      <c r="A583" s="1">
        <v>45042</v>
      </c>
      <c r="B583" s="2">
        <v>5030</v>
      </c>
      <c r="C583" s="4">
        <f>(WMT_data[[#This Row],[Último]]/B582)-1</f>
        <v>-4.354711005542411E-3</v>
      </c>
    </row>
    <row r="584" spans="1:3" x14ac:dyDescent="0.25">
      <c r="A584" s="1">
        <v>45043</v>
      </c>
      <c r="B584" s="2">
        <v>5046</v>
      </c>
      <c r="C584" s="4">
        <f>(WMT_data[[#This Row],[Último]]/B583)-1</f>
        <v>3.1809145129224614E-3</v>
      </c>
    </row>
    <row r="585" spans="1:3" x14ac:dyDescent="0.25">
      <c r="A585" s="1">
        <v>45044</v>
      </c>
      <c r="B585" s="2">
        <v>5032</v>
      </c>
      <c r="C585" s="4">
        <f>(WMT_data[[#This Row],[Último]]/B584)-1</f>
        <v>-2.7744748315496892E-3</v>
      </c>
    </row>
    <row r="586" spans="1:3" x14ac:dyDescent="0.25">
      <c r="A586" s="1">
        <v>45047</v>
      </c>
      <c r="B586" s="2">
        <v>5053</v>
      </c>
      <c r="C586" s="4">
        <f>(WMT_data[[#This Row],[Último]]/B585)-1</f>
        <v>4.1732909379967875E-3</v>
      </c>
    </row>
    <row r="587" spans="1:3" x14ac:dyDescent="0.25">
      <c r="A587" s="1">
        <v>45048</v>
      </c>
      <c r="B587" s="2">
        <v>5039</v>
      </c>
      <c r="C587" s="4">
        <f>(WMT_data[[#This Row],[Último]]/B586)-1</f>
        <v>-2.7706313081338196E-3</v>
      </c>
    </row>
    <row r="588" spans="1:3" x14ac:dyDescent="0.25">
      <c r="A588" s="1">
        <v>45049</v>
      </c>
      <c r="B588" s="2">
        <v>5021</v>
      </c>
      <c r="C588" s="4">
        <f>(WMT_data[[#This Row],[Último]]/B587)-1</f>
        <v>-3.572137328835101E-3</v>
      </c>
    </row>
    <row r="589" spans="1:3" x14ac:dyDescent="0.25">
      <c r="A589" s="1">
        <v>45050</v>
      </c>
      <c r="B589" s="2">
        <v>5016</v>
      </c>
      <c r="C589" s="4">
        <f>(WMT_data[[#This Row],[Último]]/B588)-1</f>
        <v>-9.9581756622191264E-4</v>
      </c>
    </row>
    <row r="590" spans="1:3" x14ac:dyDescent="0.25">
      <c r="A590" s="1">
        <v>45051</v>
      </c>
      <c r="B590" s="2">
        <v>5059</v>
      </c>
      <c r="C590" s="4">
        <f>(WMT_data[[#This Row],[Último]]/B589)-1</f>
        <v>8.5725677830941205E-3</v>
      </c>
    </row>
    <row r="591" spans="1:3" x14ac:dyDescent="0.25">
      <c r="A591" s="1">
        <v>45054</v>
      </c>
      <c r="B591" s="2">
        <v>5091</v>
      </c>
      <c r="C591" s="4">
        <f>(WMT_data[[#This Row],[Último]]/B590)-1</f>
        <v>6.3253607432298686E-3</v>
      </c>
    </row>
    <row r="592" spans="1:3" x14ac:dyDescent="0.25">
      <c r="A592" s="1">
        <v>45055</v>
      </c>
      <c r="B592" s="2">
        <v>5099</v>
      </c>
      <c r="C592" s="4">
        <f>(WMT_data[[#This Row],[Último]]/B591)-1</f>
        <v>1.5714005107052564E-3</v>
      </c>
    </row>
    <row r="593" spans="1:3" x14ac:dyDescent="0.25">
      <c r="A593" s="1">
        <v>45056</v>
      </c>
      <c r="B593" s="2">
        <v>5085</v>
      </c>
      <c r="C593" s="4">
        <f>(WMT_data[[#This Row],[Último]]/B592)-1</f>
        <v>-2.745636399293927E-3</v>
      </c>
    </row>
    <row r="594" spans="1:3" x14ac:dyDescent="0.25">
      <c r="A594" s="1">
        <v>45057</v>
      </c>
      <c r="B594" s="2">
        <v>5104</v>
      </c>
      <c r="C594" s="4">
        <f>(WMT_data[[#This Row],[Último]]/B593)-1</f>
        <v>3.736479842674445E-3</v>
      </c>
    </row>
    <row r="595" spans="1:3" x14ac:dyDescent="0.25">
      <c r="A595" s="1">
        <v>45058</v>
      </c>
      <c r="B595" s="2">
        <v>5102</v>
      </c>
      <c r="C595" s="4">
        <f>(WMT_data[[#This Row],[Último]]/B594)-1</f>
        <v>-3.9184952978055243E-4</v>
      </c>
    </row>
    <row r="596" spans="1:3" x14ac:dyDescent="0.25">
      <c r="A596" s="1">
        <v>45061</v>
      </c>
      <c r="B596" s="2">
        <v>5063</v>
      </c>
      <c r="C596" s="4">
        <f>(WMT_data[[#This Row],[Último]]/B595)-1</f>
        <v>-7.6440611524891677E-3</v>
      </c>
    </row>
    <row r="597" spans="1:3" x14ac:dyDescent="0.25">
      <c r="A597" s="1">
        <v>45062</v>
      </c>
      <c r="B597" s="2">
        <v>4993</v>
      </c>
      <c r="C597" s="4">
        <f>(WMT_data[[#This Row],[Último]]/B596)-1</f>
        <v>-1.382579498321157E-2</v>
      </c>
    </row>
    <row r="598" spans="1:3" x14ac:dyDescent="0.25">
      <c r="A598" s="1">
        <v>45063</v>
      </c>
      <c r="B598" s="2">
        <v>4984</v>
      </c>
      <c r="C598" s="4">
        <f>(WMT_data[[#This Row],[Último]]/B597)-1</f>
        <v>-1.8025235329460765E-3</v>
      </c>
    </row>
    <row r="599" spans="1:3" x14ac:dyDescent="0.25">
      <c r="A599" s="1">
        <v>45064</v>
      </c>
      <c r="B599" s="2">
        <v>5049</v>
      </c>
      <c r="C599" s="4">
        <f>(WMT_data[[#This Row],[Último]]/B598)-1</f>
        <v>1.3041733547351608E-2</v>
      </c>
    </row>
    <row r="600" spans="1:3" x14ac:dyDescent="0.25">
      <c r="A600" s="1">
        <v>45065</v>
      </c>
      <c r="B600" s="2">
        <v>4997</v>
      </c>
      <c r="C600" s="4">
        <f>(WMT_data[[#This Row],[Último]]/B599)-1</f>
        <v>-1.0299069122598481E-2</v>
      </c>
    </row>
    <row r="601" spans="1:3" x14ac:dyDescent="0.25">
      <c r="A601" s="1">
        <v>45068</v>
      </c>
      <c r="B601" s="2">
        <v>4953</v>
      </c>
      <c r="C601" s="4">
        <f>(WMT_data[[#This Row],[Último]]/B600)-1</f>
        <v>-8.8052831699019229E-3</v>
      </c>
    </row>
    <row r="602" spans="1:3" x14ac:dyDescent="0.25">
      <c r="A602" s="1">
        <v>45069</v>
      </c>
      <c r="B602" s="2">
        <v>4944</v>
      </c>
      <c r="C602" s="4">
        <f>(WMT_data[[#This Row],[Último]]/B601)-1</f>
        <v>-1.8170805572380599E-3</v>
      </c>
    </row>
    <row r="603" spans="1:3" x14ac:dyDescent="0.25">
      <c r="A603" s="1">
        <v>45070</v>
      </c>
      <c r="B603" s="2">
        <v>4921</v>
      </c>
      <c r="C603" s="4">
        <f>(WMT_data[[#This Row],[Último]]/B602)-1</f>
        <v>-4.6521035598705573E-3</v>
      </c>
    </row>
    <row r="604" spans="1:3" x14ac:dyDescent="0.25">
      <c r="A604" s="1">
        <v>45071</v>
      </c>
      <c r="B604" s="2">
        <v>4872</v>
      </c>
      <c r="C604" s="4">
        <f>(WMT_data[[#This Row],[Último]]/B603)-1</f>
        <v>-9.957325746799417E-3</v>
      </c>
    </row>
    <row r="605" spans="1:3" x14ac:dyDescent="0.25">
      <c r="A605" s="1">
        <v>45072</v>
      </c>
      <c r="B605" s="2">
        <v>4881</v>
      </c>
      <c r="C605" s="4">
        <f>(WMT_data[[#This Row],[Último]]/B604)-1</f>
        <v>1.847290640394128E-3</v>
      </c>
    </row>
    <row r="606" spans="1:3" x14ac:dyDescent="0.25">
      <c r="A606" s="1">
        <v>45076</v>
      </c>
      <c r="B606" s="2">
        <v>4869</v>
      </c>
      <c r="C606" s="4">
        <f>(WMT_data[[#This Row],[Último]]/B605)-1</f>
        <v>-2.4585125998770607E-3</v>
      </c>
    </row>
    <row r="607" spans="1:3" x14ac:dyDescent="0.25">
      <c r="A607" s="1">
        <v>45077</v>
      </c>
      <c r="B607" s="2">
        <v>4896</v>
      </c>
      <c r="C607" s="4">
        <f>(WMT_data[[#This Row],[Último]]/B606)-1</f>
        <v>5.5452865064695711E-3</v>
      </c>
    </row>
    <row r="608" spans="1:3" x14ac:dyDescent="0.25">
      <c r="A608" s="1">
        <v>45078</v>
      </c>
      <c r="B608" s="2">
        <v>4914</v>
      </c>
      <c r="C608" s="4">
        <f>(WMT_data[[#This Row],[Último]]/B607)-1</f>
        <v>3.6764705882352811E-3</v>
      </c>
    </row>
    <row r="609" spans="1:3" x14ac:dyDescent="0.25">
      <c r="A609" s="1">
        <v>45079</v>
      </c>
      <c r="B609" s="2">
        <v>4961</v>
      </c>
      <c r="C609" s="4">
        <f>(WMT_data[[#This Row],[Último]]/B608)-1</f>
        <v>9.5645095645096045E-3</v>
      </c>
    </row>
    <row r="610" spans="1:3" x14ac:dyDescent="0.25">
      <c r="A610" s="1">
        <v>45082</v>
      </c>
      <c r="B610" s="2">
        <v>4993</v>
      </c>
      <c r="C610" s="4">
        <f>(WMT_data[[#This Row],[Último]]/B609)-1</f>
        <v>6.4503124370087761E-3</v>
      </c>
    </row>
    <row r="611" spans="1:3" x14ac:dyDescent="0.25">
      <c r="A611" s="1">
        <v>45083</v>
      </c>
      <c r="B611" s="2">
        <v>4993</v>
      </c>
      <c r="C611" s="4">
        <f>(WMT_data[[#This Row],[Último]]/B610)-1</f>
        <v>0</v>
      </c>
    </row>
    <row r="612" spans="1:3" x14ac:dyDescent="0.25">
      <c r="A612" s="1">
        <v>45084</v>
      </c>
      <c r="B612" s="2">
        <v>5000</v>
      </c>
      <c r="C612" s="4">
        <f>(WMT_data[[#This Row],[Último]]/B611)-1</f>
        <v>1.4019627478469854E-3</v>
      </c>
    </row>
    <row r="613" spans="1:3" x14ac:dyDescent="0.25">
      <c r="A613" s="1">
        <v>45085</v>
      </c>
      <c r="B613" s="2">
        <v>5072</v>
      </c>
      <c r="C613" s="4">
        <f>(WMT_data[[#This Row],[Último]]/B612)-1</f>
        <v>1.4399999999999968E-2</v>
      </c>
    </row>
    <row r="614" spans="1:3" x14ac:dyDescent="0.25">
      <c r="A614" s="1">
        <v>45086</v>
      </c>
      <c r="B614" s="2">
        <v>5103</v>
      </c>
      <c r="C614" s="4">
        <f>(WMT_data[[#This Row],[Último]]/B613)-1</f>
        <v>6.1119873817034875E-3</v>
      </c>
    </row>
    <row r="615" spans="1:3" x14ac:dyDescent="0.25">
      <c r="A615" s="1">
        <v>45089</v>
      </c>
      <c r="B615" s="2">
        <v>5137</v>
      </c>
      <c r="C615" s="4">
        <f>(WMT_data[[#This Row],[Último]]/B614)-1</f>
        <v>6.6627474034881562E-3</v>
      </c>
    </row>
    <row r="616" spans="1:3" x14ac:dyDescent="0.25">
      <c r="A616" s="1">
        <v>45090</v>
      </c>
      <c r="B616" s="2">
        <v>5177</v>
      </c>
      <c r="C616" s="4">
        <f>(WMT_data[[#This Row],[Último]]/B615)-1</f>
        <v>7.7866459022775114E-3</v>
      </c>
    </row>
    <row r="617" spans="1:3" x14ac:dyDescent="0.25">
      <c r="A617" s="1">
        <v>45091</v>
      </c>
      <c r="B617" s="2">
        <v>5229</v>
      </c>
      <c r="C617" s="4">
        <f>(WMT_data[[#This Row],[Último]]/B616)-1</f>
        <v>1.0044427274483292E-2</v>
      </c>
    </row>
    <row r="618" spans="1:3" x14ac:dyDescent="0.25">
      <c r="A618" s="1">
        <v>45092</v>
      </c>
      <c r="B618" s="2">
        <v>5258</v>
      </c>
      <c r="C618" s="4">
        <f>(WMT_data[[#This Row],[Último]]/B617)-1</f>
        <v>5.5459934978008274E-3</v>
      </c>
    </row>
    <row r="619" spans="1:3" x14ac:dyDescent="0.25">
      <c r="A619" s="1">
        <v>45093</v>
      </c>
      <c r="B619" s="2">
        <v>5184</v>
      </c>
      <c r="C619" s="4">
        <f>(WMT_data[[#This Row],[Último]]/B618)-1</f>
        <v>-1.4073792316470102E-2</v>
      </c>
    </row>
    <row r="620" spans="1:3" x14ac:dyDescent="0.25">
      <c r="A620" s="1">
        <v>45097</v>
      </c>
      <c r="B620" s="2">
        <v>5139</v>
      </c>
      <c r="C620" s="4">
        <f>(WMT_data[[#This Row],[Último]]/B619)-1</f>
        <v>-8.6805555555555802E-3</v>
      </c>
    </row>
    <row r="621" spans="1:3" x14ac:dyDescent="0.25">
      <c r="A621" s="1">
        <v>45098</v>
      </c>
      <c r="B621" s="2">
        <v>5149</v>
      </c>
      <c r="C621" s="4">
        <f>(WMT_data[[#This Row],[Último]]/B620)-1</f>
        <v>1.9459038723486088E-3</v>
      </c>
    </row>
    <row r="622" spans="1:3" x14ac:dyDescent="0.25">
      <c r="A622" s="1">
        <v>45099</v>
      </c>
      <c r="B622" s="2">
        <v>5192</v>
      </c>
      <c r="C622" s="4">
        <f>(WMT_data[[#This Row],[Último]]/B621)-1</f>
        <v>8.351136142940474E-3</v>
      </c>
    </row>
    <row r="623" spans="1:3" x14ac:dyDescent="0.25">
      <c r="A623" s="1">
        <v>45100</v>
      </c>
      <c r="B623" s="2">
        <v>5182</v>
      </c>
      <c r="C623" s="4">
        <f>(WMT_data[[#This Row],[Último]]/B622)-1</f>
        <v>-1.9260400616333273E-3</v>
      </c>
    </row>
    <row r="624" spans="1:3" x14ac:dyDescent="0.25">
      <c r="A624" s="1">
        <v>45103</v>
      </c>
      <c r="B624" s="2">
        <v>5168</v>
      </c>
      <c r="C624" s="4">
        <f>(WMT_data[[#This Row],[Último]]/B623)-1</f>
        <v>-2.7016595908915253E-3</v>
      </c>
    </row>
    <row r="625" spans="1:3" x14ac:dyDescent="0.25">
      <c r="A625" s="1">
        <v>45104</v>
      </c>
      <c r="B625" s="2">
        <v>5150</v>
      </c>
      <c r="C625" s="4">
        <f>(WMT_data[[#This Row],[Último]]/B624)-1</f>
        <v>-3.4829721362229504E-3</v>
      </c>
    </row>
    <row r="626" spans="1:3" x14ac:dyDescent="0.25">
      <c r="A626" s="1">
        <v>45105</v>
      </c>
      <c r="B626" s="2">
        <v>5178</v>
      </c>
      <c r="C626" s="4">
        <f>(WMT_data[[#This Row],[Último]]/B625)-1</f>
        <v>5.4368932038835194E-3</v>
      </c>
    </row>
    <row r="627" spans="1:3" x14ac:dyDescent="0.25">
      <c r="A627" s="1">
        <v>45106</v>
      </c>
      <c r="B627" s="2">
        <v>5143</v>
      </c>
      <c r="C627" s="4">
        <f>(WMT_data[[#This Row],[Último]]/B626)-1</f>
        <v>-6.7593665507917899E-3</v>
      </c>
    </row>
    <row r="628" spans="1:3" x14ac:dyDescent="0.25">
      <c r="A628" s="1">
        <v>45107</v>
      </c>
      <c r="B628" s="2">
        <v>5239</v>
      </c>
      <c r="C628" s="4">
        <f>(WMT_data[[#This Row],[Último]]/B627)-1</f>
        <v>1.8666148162550966E-2</v>
      </c>
    </row>
    <row r="629" spans="1:3" x14ac:dyDescent="0.25">
      <c r="A629" s="1">
        <v>45110</v>
      </c>
      <c r="B629" s="2">
        <v>5273</v>
      </c>
      <c r="C629" s="4">
        <f>(WMT_data[[#This Row],[Último]]/B628)-1</f>
        <v>6.4897881275052249E-3</v>
      </c>
    </row>
    <row r="630" spans="1:3" x14ac:dyDescent="0.25">
      <c r="A630" s="1">
        <v>45112</v>
      </c>
      <c r="B630" s="2">
        <v>5270</v>
      </c>
      <c r="C630" s="4">
        <f>(WMT_data[[#This Row],[Último]]/B629)-1</f>
        <v>-5.689360895125839E-4</v>
      </c>
    </row>
    <row r="631" spans="1:3" x14ac:dyDescent="0.25">
      <c r="A631" s="1">
        <v>45113</v>
      </c>
      <c r="B631" s="2">
        <v>5237</v>
      </c>
      <c r="C631" s="4">
        <f>(WMT_data[[#This Row],[Último]]/B630)-1</f>
        <v>-6.2618595825426615E-3</v>
      </c>
    </row>
    <row r="632" spans="1:3" x14ac:dyDescent="0.25">
      <c r="A632" s="1">
        <v>45114</v>
      </c>
      <c r="B632" s="2">
        <v>5116</v>
      </c>
      <c r="C632" s="4">
        <f>(WMT_data[[#This Row],[Último]]/B631)-1</f>
        <v>-2.3104831010120286E-2</v>
      </c>
    </row>
    <row r="633" spans="1:3" x14ac:dyDescent="0.25">
      <c r="A633" s="1">
        <v>45117</v>
      </c>
      <c r="B633" s="2">
        <v>5163</v>
      </c>
      <c r="C633" s="4">
        <f>(WMT_data[[#This Row],[Último]]/B632)-1</f>
        <v>9.1868647380766166E-3</v>
      </c>
    </row>
    <row r="634" spans="1:3" x14ac:dyDescent="0.25">
      <c r="A634" s="1">
        <v>45118</v>
      </c>
      <c r="B634" s="2">
        <v>5155</v>
      </c>
      <c r="C634" s="4">
        <f>(WMT_data[[#This Row],[Último]]/B633)-1</f>
        <v>-1.5494867325198669E-3</v>
      </c>
    </row>
    <row r="635" spans="1:3" x14ac:dyDescent="0.25">
      <c r="A635" s="1">
        <v>45119</v>
      </c>
      <c r="B635" s="2">
        <v>5168</v>
      </c>
      <c r="C635" s="4">
        <f>(WMT_data[[#This Row],[Último]]/B634)-1</f>
        <v>2.5218234723569655E-3</v>
      </c>
    </row>
    <row r="636" spans="1:3" x14ac:dyDescent="0.25">
      <c r="A636" s="1">
        <v>45120</v>
      </c>
      <c r="B636" s="2">
        <v>5138</v>
      </c>
      <c r="C636" s="4">
        <f>(WMT_data[[#This Row],[Último]]/B635)-1</f>
        <v>-5.804953560371473E-3</v>
      </c>
    </row>
    <row r="637" spans="1:3" x14ac:dyDescent="0.25">
      <c r="A637" s="1">
        <v>45121</v>
      </c>
      <c r="B637" s="2">
        <v>5155</v>
      </c>
      <c r="C637" s="4">
        <f>(WMT_data[[#This Row],[Último]]/B636)-1</f>
        <v>3.3086804203970033E-3</v>
      </c>
    </row>
    <row r="638" spans="1:3" x14ac:dyDescent="0.25">
      <c r="A638" s="1">
        <v>45124</v>
      </c>
      <c r="B638" s="2">
        <v>5162</v>
      </c>
      <c r="C638" s="4">
        <f>(WMT_data[[#This Row],[Último]]/B637)-1</f>
        <v>1.3579049466536652E-3</v>
      </c>
    </row>
    <row r="639" spans="1:3" x14ac:dyDescent="0.25">
      <c r="A639" s="1">
        <v>45125</v>
      </c>
      <c r="B639" s="2">
        <v>5152</v>
      </c>
      <c r="C639" s="4">
        <f>(WMT_data[[#This Row],[Último]]/B638)-1</f>
        <v>-1.9372336303757898E-3</v>
      </c>
    </row>
    <row r="640" spans="1:3" x14ac:dyDescent="0.25">
      <c r="A640" s="1">
        <v>45126</v>
      </c>
      <c r="B640" s="2">
        <v>5154</v>
      </c>
      <c r="C640" s="4">
        <f>(WMT_data[[#This Row],[Último]]/B639)-1</f>
        <v>3.8819875776407997E-4</v>
      </c>
    </row>
    <row r="641" spans="1:3" x14ac:dyDescent="0.25">
      <c r="A641" s="1">
        <v>45127</v>
      </c>
      <c r="B641" s="2">
        <v>5249</v>
      </c>
      <c r="C641" s="4">
        <f>(WMT_data[[#This Row],[Último]]/B640)-1</f>
        <v>1.8432285603414922E-2</v>
      </c>
    </row>
    <row r="642" spans="1:3" x14ac:dyDescent="0.25">
      <c r="A642" s="1">
        <v>45128</v>
      </c>
      <c r="B642" s="2">
        <v>5279</v>
      </c>
      <c r="C642" s="4">
        <f>(WMT_data[[#This Row],[Último]]/B641)-1</f>
        <v>5.7153743570204085E-3</v>
      </c>
    </row>
    <row r="643" spans="1:3" x14ac:dyDescent="0.25">
      <c r="A643" s="1">
        <v>45131</v>
      </c>
      <c r="B643" s="2">
        <v>5310</v>
      </c>
      <c r="C643" s="4">
        <f>(WMT_data[[#This Row],[Último]]/B642)-1</f>
        <v>5.8723243038454331E-3</v>
      </c>
    </row>
    <row r="644" spans="1:3" x14ac:dyDescent="0.25">
      <c r="A644" s="1">
        <v>45132</v>
      </c>
      <c r="B644" s="2">
        <v>5306</v>
      </c>
      <c r="C644" s="4">
        <f>(WMT_data[[#This Row],[Último]]/B643)-1</f>
        <v>-7.5329566854986929E-4</v>
      </c>
    </row>
    <row r="645" spans="1:3" x14ac:dyDescent="0.25">
      <c r="A645" s="1">
        <v>45133</v>
      </c>
      <c r="B645" s="2">
        <v>5325</v>
      </c>
      <c r="C645" s="4">
        <f>(WMT_data[[#This Row],[Último]]/B644)-1</f>
        <v>3.5808518658122512E-3</v>
      </c>
    </row>
    <row r="646" spans="1:3" x14ac:dyDescent="0.25">
      <c r="A646" s="1">
        <v>45134</v>
      </c>
      <c r="B646" s="2">
        <v>5305</v>
      </c>
      <c r="C646" s="4">
        <f>(WMT_data[[#This Row],[Último]]/B645)-1</f>
        <v>-3.755868544600971E-3</v>
      </c>
    </row>
    <row r="647" spans="1:3" x14ac:dyDescent="0.25">
      <c r="A647" s="1">
        <v>45135</v>
      </c>
      <c r="B647" s="2">
        <v>5330</v>
      </c>
      <c r="C647" s="4">
        <f>(WMT_data[[#This Row],[Último]]/B646)-1</f>
        <v>4.7125353440151674E-3</v>
      </c>
    </row>
    <row r="648" spans="1:3" x14ac:dyDescent="0.25">
      <c r="A648" s="1">
        <v>45138</v>
      </c>
      <c r="B648" s="2">
        <v>5329</v>
      </c>
      <c r="C648" s="4">
        <f>(WMT_data[[#This Row],[Último]]/B647)-1</f>
        <v>-1.8761726078797558E-4</v>
      </c>
    </row>
    <row r="649" spans="1:3" x14ac:dyDescent="0.25">
      <c r="A649" s="1">
        <v>45139</v>
      </c>
      <c r="B649" s="2">
        <v>5304</v>
      </c>
      <c r="C649" s="4">
        <f>(WMT_data[[#This Row],[Último]]/B648)-1</f>
        <v>-4.6913116907487673E-3</v>
      </c>
    </row>
    <row r="650" spans="1:3" x14ac:dyDescent="0.25">
      <c r="A650" s="1">
        <v>45140</v>
      </c>
      <c r="B650" s="2">
        <v>5307</v>
      </c>
      <c r="C650" s="4">
        <f>(WMT_data[[#This Row],[Último]]/B649)-1</f>
        <v>5.6561085972850478E-4</v>
      </c>
    </row>
    <row r="651" spans="1:3" x14ac:dyDescent="0.25">
      <c r="A651" s="1">
        <v>45141</v>
      </c>
      <c r="B651" s="2">
        <v>5309</v>
      </c>
      <c r="C651" s="4">
        <f>(WMT_data[[#This Row],[Último]]/B650)-1</f>
        <v>3.7686074995280094E-4</v>
      </c>
    </row>
    <row r="652" spans="1:3" x14ac:dyDescent="0.25">
      <c r="A652" s="1">
        <v>45142</v>
      </c>
      <c r="B652" s="2">
        <v>5278</v>
      </c>
      <c r="C652" s="4">
        <f>(WMT_data[[#This Row],[Último]]/B651)-1</f>
        <v>-5.8391410811828859E-3</v>
      </c>
    </row>
    <row r="653" spans="1:3" x14ac:dyDescent="0.25">
      <c r="A653" s="1">
        <v>45145</v>
      </c>
      <c r="B653" s="2">
        <v>5350</v>
      </c>
      <c r="C653" s="4">
        <f>(WMT_data[[#This Row],[Último]]/B652)-1</f>
        <v>1.3641530882910091E-2</v>
      </c>
    </row>
    <row r="654" spans="1:3" x14ac:dyDescent="0.25">
      <c r="A654" s="1">
        <v>45146</v>
      </c>
      <c r="B654" s="2">
        <v>5355</v>
      </c>
      <c r="C654" s="4">
        <f>(WMT_data[[#This Row],[Último]]/B653)-1</f>
        <v>9.3457943925234765E-4</v>
      </c>
    </row>
    <row r="655" spans="1:3" x14ac:dyDescent="0.25">
      <c r="A655" s="1">
        <v>45147</v>
      </c>
      <c r="B655" s="2">
        <v>5364</v>
      </c>
      <c r="C655" s="4">
        <f>(WMT_data[[#This Row],[Último]]/B654)-1</f>
        <v>1.6806722689075571E-3</v>
      </c>
    </row>
    <row r="656" spans="1:3" x14ac:dyDescent="0.25">
      <c r="A656" s="1">
        <v>45148</v>
      </c>
      <c r="B656" s="2">
        <v>5342</v>
      </c>
      <c r="C656" s="4">
        <f>(WMT_data[[#This Row],[Último]]/B655)-1</f>
        <v>-4.1014168530947304E-3</v>
      </c>
    </row>
    <row r="657" spans="1:3" x14ac:dyDescent="0.25">
      <c r="A657" s="1">
        <v>45149</v>
      </c>
      <c r="B657" s="2">
        <v>5373</v>
      </c>
      <c r="C657" s="4">
        <f>(WMT_data[[#This Row],[Último]]/B656)-1</f>
        <v>5.8030700112317035E-3</v>
      </c>
    </row>
    <row r="658" spans="1:3" x14ac:dyDescent="0.25">
      <c r="A658" s="1">
        <v>45152</v>
      </c>
      <c r="B658" s="2">
        <v>5333</v>
      </c>
      <c r="C658" s="4">
        <f>(WMT_data[[#This Row],[Último]]/B657)-1</f>
        <v>-7.4446305602084983E-3</v>
      </c>
    </row>
    <row r="659" spans="1:3" x14ac:dyDescent="0.25">
      <c r="A659" s="1">
        <v>45153</v>
      </c>
      <c r="B659" s="2">
        <v>5306</v>
      </c>
      <c r="C659" s="4">
        <f>(WMT_data[[#This Row],[Último]]/B658)-1</f>
        <v>-5.0628164260265729E-3</v>
      </c>
    </row>
    <row r="660" spans="1:3" x14ac:dyDescent="0.25">
      <c r="A660" s="1">
        <v>45154</v>
      </c>
      <c r="B660" s="2">
        <v>5309</v>
      </c>
      <c r="C660" s="4">
        <f>(WMT_data[[#This Row],[Último]]/B659)-1</f>
        <v>5.6539766302288186E-4</v>
      </c>
    </row>
    <row r="661" spans="1:3" x14ac:dyDescent="0.25">
      <c r="A661" s="1">
        <v>45155</v>
      </c>
      <c r="B661" s="2">
        <v>5190</v>
      </c>
      <c r="C661" s="4">
        <f>(WMT_data[[#This Row],[Último]]/B660)-1</f>
        <v>-2.2414767376153666E-2</v>
      </c>
    </row>
    <row r="662" spans="1:3" x14ac:dyDescent="0.25">
      <c r="A662" s="1">
        <v>45156</v>
      </c>
      <c r="B662" s="2">
        <v>5264</v>
      </c>
      <c r="C662" s="4">
        <f>(WMT_data[[#This Row],[Último]]/B661)-1</f>
        <v>1.4258188824662898E-2</v>
      </c>
    </row>
    <row r="663" spans="1:3" x14ac:dyDescent="0.25">
      <c r="A663" s="1">
        <v>45159</v>
      </c>
      <c r="B663" s="2">
        <v>5250</v>
      </c>
      <c r="C663" s="4">
        <f>(WMT_data[[#This Row],[Último]]/B662)-1</f>
        <v>-2.6595744680850686E-3</v>
      </c>
    </row>
    <row r="664" spans="1:3" x14ac:dyDescent="0.25">
      <c r="A664" s="1">
        <v>45160</v>
      </c>
      <c r="B664" s="2">
        <v>5234</v>
      </c>
      <c r="C664" s="4">
        <f>(WMT_data[[#This Row],[Último]]/B663)-1</f>
        <v>-3.0476190476190768E-3</v>
      </c>
    </row>
    <row r="665" spans="1:3" x14ac:dyDescent="0.25">
      <c r="A665" s="1">
        <v>45161</v>
      </c>
      <c r="B665" s="2">
        <v>5270</v>
      </c>
      <c r="C665" s="4">
        <f>(WMT_data[[#This Row],[Último]]/B664)-1</f>
        <v>6.8781047000381346E-3</v>
      </c>
    </row>
    <row r="666" spans="1:3" x14ac:dyDescent="0.25">
      <c r="A666" s="1">
        <v>45162</v>
      </c>
      <c r="B666" s="2">
        <v>5230</v>
      </c>
      <c r="C666" s="4">
        <f>(WMT_data[[#This Row],[Último]]/B665)-1</f>
        <v>-7.5901328273244584E-3</v>
      </c>
    </row>
    <row r="667" spans="1:3" x14ac:dyDescent="0.25">
      <c r="A667" s="1">
        <v>45163</v>
      </c>
      <c r="B667" s="2">
        <v>5261</v>
      </c>
      <c r="C667" s="4">
        <f>(WMT_data[[#This Row],[Último]]/B666)-1</f>
        <v>5.9273422562140521E-3</v>
      </c>
    </row>
    <row r="668" spans="1:3" x14ac:dyDescent="0.25">
      <c r="A668" s="1">
        <v>45166</v>
      </c>
      <c r="B668" s="2">
        <v>5291</v>
      </c>
      <c r="C668" s="4">
        <f>(WMT_data[[#This Row],[Último]]/B667)-1</f>
        <v>5.7023379585630085E-3</v>
      </c>
    </row>
    <row r="669" spans="1:3" x14ac:dyDescent="0.25">
      <c r="A669" s="1">
        <v>45167</v>
      </c>
      <c r="B669" s="2">
        <v>5335</v>
      </c>
      <c r="C669" s="4">
        <f>(WMT_data[[#This Row],[Último]]/B668)-1</f>
        <v>8.3160083160083165E-3</v>
      </c>
    </row>
    <row r="670" spans="1:3" x14ac:dyDescent="0.25">
      <c r="A670" s="1">
        <v>45168</v>
      </c>
      <c r="B670" s="2">
        <v>5373</v>
      </c>
      <c r="C670" s="4">
        <f>(WMT_data[[#This Row],[Último]]/B669)-1</f>
        <v>7.1227741330834871E-3</v>
      </c>
    </row>
    <row r="671" spans="1:3" x14ac:dyDescent="0.25">
      <c r="A671" s="1">
        <v>45169</v>
      </c>
      <c r="B671" s="2">
        <v>5420</v>
      </c>
      <c r="C671" s="4">
        <f>(WMT_data[[#This Row],[Último]]/B670)-1</f>
        <v>8.7474409082448634E-3</v>
      </c>
    </row>
    <row r="672" spans="1:3" x14ac:dyDescent="0.25">
      <c r="A672" s="1">
        <v>45170</v>
      </c>
      <c r="B672" s="2">
        <v>5386</v>
      </c>
      <c r="C672" s="4">
        <f>(WMT_data[[#This Row],[Último]]/B671)-1</f>
        <v>-6.2730627306273323E-3</v>
      </c>
    </row>
    <row r="673" spans="1:3" x14ac:dyDescent="0.25">
      <c r="A673" s="1">
        <v>45174</v>
      </c>
      <c r="B673" s="2">
        <v>5342</v>
      </c>
      <c r="C673" s="4">
        <f>(WMT_data[[#This Row],[Último]]/B672)-1</f>
        <v>-8.1693278871147745E-3</v>
      </c>
    </row>
    <row r="674" spans="1:3" x14ac:dyDescent="0.25">
      <c r="A674" s="1">
        <v>45175</v>
      </c>
      <c r="B674" s="2">
        <v>5382</v>
      </c>
      <c r="C674" s="4">
        <f>(WMT_data[[#This Row],[Último]]/B673)-1</f>
        <v>7.4878322725571156E-3</v>
      </c>
    </row>
    <row r="675" spans="1:3" x14ac:dyDescent="0.25">
      <c r="A675" s="1">
        <v>45176</v>
      </c>
      <c r="B675" s="2">
        <v>5449</v>
      </c>
      <c r="C675" s="4">
        <f>(WMT_data[[#This Row],[Último]]/B674)-1</f>
        <v>1.2448903753251583E-2</v>
      </c>
    </row>
    <row r="676" spans="1:3" x14ac:dyDescent="0.25">
      <c r="A676" s="1">
        <v>45177</v>
      </c>
      <c r="B676" s="2">
        <v>5459</v>
      </c>
      <c r="C676" s="4">
        <f>(WMT_data[[#This Row],[Último]]/B675)-1</f>
        <v>1.8351991191043471E-3</v>
      </c>
    </row>
    <row r="677" spans="1:3" x14ac:dyDescent="0.25">
      <c r="A677" s="1">
        <v>45180</v>
      </c>
      <c r="B677" s="2">
        <v>5478</v>
      </c>
      <c r="C677" s="4">
        <f>(WMT_data[[#This Row],[Último]]/B676)-1</f>
        <v>3.4804909324051003E-3</v>
      </c>
    </row>
    <row r="678" spans="1:3" x14ac:dyDescent="0.25">
      <c r="A678" s="1">
        <v>45181</v>
      </c>
      <c r="B678" s="2">
        <v>5484</v>
      </c>
      <c r="C678" s="4">
        <f>(WMT_data[[#This Row],[Último]]/B677)-1</f>
        <v>1.0952902519167917E-3</v>
      </c>
    </row>
    <row r="679" spans="1:3" x14ac:dyDescent="0.25">
      <c r="A679" s="1">
        <v>45182</v>
      </c>
      <c r="B679" s="2">
        <v>5485</v>
      </c>
      <c r="C679" s="4">
        <f>(WMT_data[[#This Row],[Último]]/B678)-1</f>
        <v>1.8234865062005667E-4</v>
      </c>
    </row>
    <row r="680" spans="1:3" x14ac:dyDescent="0.25">
      <c r="A680" s="1">
        <v>45183</v>
      </c>
      <c r="B680" s="2">
        <v>5508</v>
      </c>
      <c r="C680" s="4">
        <f>(WMT_data[[#This Row],[Último]]/B679)-1</f>
        <v>4.1932543299909586E-3</v>
      </c>
    </row>
    <row r="681" spans="1:3" x14ac:dyDescent="0.25">
      <c r="A681" s="1">
        <v>45184</v>
      </c>
      <c r="B681" s="2">
        <v>5488</v>
      </c>
      <c r="C681" s="4">
        <f>(WMT_data[[#This Row],[Último]]/B680)-1</f>
        <v>-3.6310820624546603E-3</v>
      </c>
    </row>
    <row r="682" spans="1:3" x14ac:dyDescent="0.25">
      <c r="A682" s="1">
        <v>45187</v>
      </c>
      <c r="B682" s="2">
        <v>5447</v>
      </c>
      <c r="C682" s="4">
        <f>(WMT_data[[#This Row],[Último]]/B681)-1</f>
        <v>-7.4708454810495928E-3</v>
      </c>
    </row>
    <row r="683" spans="1:3" x14ac:dyDescent="0.25">
      <c r="A683" s="1">
        <v>45188</v>
      </c>
      <c r="B683" s="2">
        <v>5446</v>
      </c>
      <c r="C683" s="4">
        <f>(WMT_data[[#This Row],[Último]]/B682)-1</f>
        <v>-1.8358729575917998E-4</v>
      </c>
    </row>
    <row r="684" spans="1:3" x14ac:dyDescent="0.25">
      <c r="A684" s="1">
        <v>45189</v>
      </c>
      <c r="B684" s="2">
        <v>5464</v>
      </c>
      <c r="C684" s="4">
        <f>(WMT_data[[#This Row],[Último]]/B683)-1</f>
        <v>3.3051781123760726E-3</v>
      </c>
    </row>
    <row r="685" spans="1:3" x14ac:dyDescent="0.25">
      <c r="A685" s="1">
        <v>45190</v>
      </c>
      <c r="B685" s="2">
        <v>5397</v>
      </c>
      <c r="C685" s="4">
        <f>(WMT_data[[#This Row],[Último]]/B684)-1</f>
        <v>-1.2262079062957509E-2</v>
      </c>
    </row>
    <row r="686" spans="1:3" x14ac:dyDescent="0.25">
      <c r="A686" s="1">
        <v>45191</v>
      </c>
      <c r="B686" s="2">
        <v>5412</v>
      </c>
      <c r="C686" s="4">
        <f>(WMT_data[[#This Row],[Último]]/B685)-1</f>
        <v>2.7793218454696955E-3</v>
      </c>
    </row>
    <row r="687" spans="1:3" x14ac:dyDescent="0.25">
      <c r="A687" s="1">
        <v>45194</v>
      </c>
      <c r="B687" s="2">
        <v>5436</v>
      </c>
      <c r="C687" s="4">
        <f>(WMT_data[[#This Row],[Último]]/B686)-1</f>
        <v>4.4345898004434225E-3</v>
      </c>
    </row>
    <row r="688" spans="1:3" x14ac:dyDescent="0.25">
      <c r="A688" s="1">
        <v>45195</v>
      </c>
      <c r="B688" s="2">
        <v>5417</v>
      </c>
      <c r="C688" s="4">
        <f>(WMT_data[[#This Row],[Último]]/B687)-1</f>
        <v>-3.4952170713760111E-3</v>
      </c>
    </row>
    <row r="689" spans="1:3" x14ac:dyDescent="0.25">
      <c r="A689" s="1">
        <v>45196</v>
      </c>
      <c r="B689" s="2">
        <v>5391</v>
      </c>
      <c r="C689" s="4">
        <f>(WMT_data[[#This Row],[Último]]/B688)-1</f>
        <v>-4.7997046335610527E-3</v>
      </c>
    </row>
    <row r="690" spans="1:3" x14ac:dyDescent="0.25">
      <c r="A690" s="1">
        <v>45197</v>
      </c>
      <c r="B690" s="2">
        <v>5418</v>
      </c>
      <c r="C690" s="4">
        <f>(WMT_data[[#This Row],[Último]]/B689)-1</f>
        <v>5.008347245408995E-3</v>
      </c>
    </row>
    <row r="691" spans="1:3" x14ac:dyDescent="0.25">
      <c r="A691" s="1">
        <v>45198</v>
      </c>
      <c r="B691" s="2">
        <v>5331</v>
      </c>
      <c r="C691" s="4">
        <f>(WMT_data[[#This Row],[Último]]/B690)-1</f>
        <v>-1.6057585825027698E-2</v>
      </c>
    </row>
    <row r="692" spans="1:3" x14ac:dyDescent="0.25">
      <c r="A692" s="1">
        <v>45201</v>
      </c>
      <c r="B692" s="2">
        <v>5337</v>
      </c>
      <c r="C692" s="4">
        <f>(WMT_data[[#This Row],[Último]]/B691)-1</f>
        <v>1.1254924029262536E-3</v>
      </c>
    </row>
    <row r="693" spans="1:3" x14ac:dyDescent="0.25">
      <c r="A693" s="1">
        <v>45202</v>
      </c>
      <c r="B693" s="2">
        <v>5303</v>
      </c>
      <c r="C693" s="4">
        <f>(WMT_data[[#This Row],[Último]]/B692)-1</f>
        <v>-6.3706201986134525E-3</v>
      </c>
    </row>
    <row r="694" spans="1:3" x14ac:dyDescent="0.25">
      <c r="A694" s="1">
        <v>45203</v>
      </c>
      <c r="B694" s="2">
        <v>5367</v>
      </c>
      <c r="C694" s="4">
        <f>(WMT_data[[#This Row],[Último]]/B693)-1</f>
        <v>1.2068640392230767E-2</v>
      </c>
    </row>
    <row r="695" spans="1:3" x14ac:dyDescent="0.25">
      <c r="A695" s="1">
        <v>45204</v>
      </c>
      <c r="B695" s="2">
        <v>5303</v>
      </c>
      <c r="C695" s="4">
        <f>(WMT_data[[#This Row],[Último]]/B694)-1</f>
        <v>-1.1924725172349548E-2</v>
      </c>
    </row>
    <row r="696" spans="1:3" x14ac:dyDescent="0.25">
      <c r="A696" s="1">
        <v>45205</v>
      </c>
      <c r="B696" s="2">
        <v>5214</v>
      </c>
      <c r="C696" s="4">
        <f>(WMT_data[[#This Row],[Último]]/B695)-1</f>
        <v>-1.678295304544597E-2</v>
      </c>
    </row>
    <row r="697" spans="1:3" x14ac:dyDescent="0.25">
      <c r="A697" s="1">
        <v>45208</v>
      </c>
      <c r="B697" s="2">
        <v>5195</v>
      </c>
      <c r="C697" s="4">
        <f>(WMT_data[[#This Row],[Último]]/B696)-1</f>
        <v>-3.6440352896048855E-3</v>
      </c>
    </row>
    <row r="698" spans="1:3" x14ac:dyDescent="0.25">
      <c r="A698" s="1">
        <v>45209</v>
      </c>
      <c r="B698" s="2">
        <v>5253</v>
      </c>
      <c r="C698" s="4">
        <f>(WMT_data[[#This Row],[Último]]/B697)-1</f>
        <v>1.1164581328200196E-2</v>
      </c>
    </row>
    <row r="699" spans="1:3" x14ac:dyDescent="0.25">
      <c r="A699" s="1">
        <v>45210</v>
      </c>
      <c r="B699" s="2">
        <v>5274</v>
      </c>
      <c r="C699" s="4">
        <f>(WMT_data[[#This Row],[Último]]/B698)-1</f>
        <v>3.9977155910908557E-3</v>
      </c>
    </row>
    <row r="700" spans="1:3" x14ac:dyDescent="0.25">
      <c r="A700" s="1">
        <v>45211</v>
      </c>
      <c r="B700" s="2">
        <v>5298</v>
      </c>
      <c r="C700" s="4">
        <f>(WMT_data[[#This Row],[Último]]/B699)-1</f>
        <v>4.550625711035261E-3</v>
      </c>
    </row>
    <row r="701" spans="1:3" x14ac:dyDescent="0.25">
      <c r="A701" s="1">
        <v>45212</v>
      </c>
      <c r="B701" s="2">
        <v>5328</v>
      </c>
      <c r="C701" s="4">
        <f>(WMT_data[[#This Row],[Último]]/B700)-1</f>
        <v>5.6625141562853809E-3</v>
      </c>
    </row>
    <row r="702" spans="1:3" x14ac:dyDescent="0.25">
      <c r="A702" s="1">
        <v>45215</v>
      </c>
      <c r="B702" s="2">
        <v>5374</v>
      </c>
      <c r="C702" s="4">
        <f>(WMT_data[[#This Row],[Último]]/B701)-1</f>
        <v>8.633633633633675E-3</v>
      </c>
    </row>
    <row r="703" spans="1:3" x14ac:dyDescent="0.25">
      <c r="A703" s="1">
        <v>45216</v>
      </c>
      <c r="B703" s="2">
        <v>5381</v>
      </c>
      <c r="C703" s="4">
        <f>(WMT_data[[#This Row],[Último]]/B702)-1</f>
        <v>1.3025679196130291E-3</v>
      </c>
    </row>
    <row r="704" spans="1:3" x14ac:dyDescent="0.25">
      <c r="A704" s="1">
        <v>45217</v>
      </c>
      <c r="B704" s="2">
        <v>5385</v>
      </c>
      <c r="C704" s="4">
        <f>(WMT_data[[#This Row],[Último]]/B703)-1</f>
        <v>7.4335625348442846E-4</v>
      </c>
    </row>
    <row r="705" spans="1:3" x14ac:dyDescent="0.25">
      <c r="A705" s="1">
        <v>45218</v>
      </c>
      <c r="B705" s="2">
        <v>5359</v>
      </c>
      <c r="C705" s="4">
        <f>(WMT_data[[#This Row],[Último]]/B704)-1</f>
        <v>-4.8282265552460624E-3</v>
      </c>
    </row>
    <row r="706" spans="1:3" x14ac:dyDescent="0.25">
      <c r="A706" s="1">
        <v>45219</v>
      </c>
      <c r="B706" s="2">
        <v>5292</v>
      </c>
      <c r="C706" s="4">
        <f>(WMT_data[[#This Row],[Último]]/B705)-1</f>
        <v>-1.2502332524724769E-2</v>
      </c>
    </row>
    <row r="707" spans="1:3" x14ac:dyDescent="0.25">
      <c r="A707" s="1">
        <v>45222</v>
      </c>
      <c r="B707" s="2">
        <v>5367</v>
      </c>
      <c r="C707" s="4">
        <f>(WMT_data[[#This Row],[Último]]/B706)-1</f>
        <v>1.4172335600907138E-2</v>
      </c>
    </row>
    <row r="708" spans="1:3" x14ac:dyDescent="0.25">
      <c r="A708" s="1">
        <v>45223</v>
      </c>
      <c r="B708" s="2">
        <v>5442</v>
      </c>
      <c r="C708" s="4">
        <f>(WMT_data[[#This Row],[Último]]/B707)-1</f>
        <v>1.3974287311347089E-2</v>
      </c>
    </row>
    <row r="709" spans="1:3" x14ac:dyDescent="0.25">
      <c r="A709" s="1">
        <v>45224</v>
      </c>
      <c r="B709" s="2">
        <v>5425</v>
      </c>
      <c r="C709" s="4">
        <f>(WMT_data[[#This Row],[Último]]/B708)-1</f>
        <v>-3.1238515251745813E-3</v>
      </c>
    </row>
    <row r="710" spans="1:3" x14ac:dyDescent="0.25">
      <c r="A710" s="1">
        <v>45225</v>
      </c>
      <c r="B710" s="2">
        <v>5392</v>
      </c>
      <c r="C710" s="4">
        <f>(WMT_data[[#This Row],[Último]]/B709)-1</f>
        <v>-6.0829493087557474E-3</v>
      </c>
    </row>
    <row r="711" spans="1:3" x14ac:dyDescent="0.25">
      <c r="A711" s="1">
        <v>45226</v>
      </c>
      <c r="B711" s="2">
        <v>5372</v>
      </c>
      <c r="C711" s="4">
        <f>(WMT_data[[#This Row],[Último]]/B710)-1</f>
        <v>-3.7091988130564246E-3</v>
      </c>
    </row>
    <row r="712" spans="1:3" x14ac:dyDescent="0.25">
      <c r="A712" s="1">
        <v>45229</v>
      </c>
      <c r="B712" s="2">
        <v>5434</v>
      </c>
      <c r="C712" s="4">
        <f>(WMT_data[[#This Row],[Último]]/B711)-1</f>
        <v>1.1541325390915791E-2</v>
      </c>
    </row>
    <row r="713" spans="1:3" x14ac:dyDescent="0.25">
      <c r="A713" s="1">
        <v>45230</v>
      </c>
      <c r="B713" s="2">
        <v>5447</v>
      </c>
      <c r="C713" s="4">
        <f>(WMT_data[[#This Row],[Último]]/B712)-1</f>
        <v>2.3923444976077235E-3</v>
      </c>
    </row>
    <row r="714" spans="1:3" x14ac:dyDescent="0.25">
      <c r="A714" s="1">
        <v>45231</v>
      </c>
      <c r="B714" s="2">
        <v>5496</v>
      </c>
      <c r="C714" s="4">
        <f>(WMT_data[[#This Row],[Último]]/B713)-1</f>
        <v>8.9957774921975986E-3</v>
      </c>
    </row>
    <row r="715" spans="1:3" x14ac:dyDescent="0.25">
      <c r="A715" s="1">
        <v>45232</v>
      </c>
      <c r="B715" s="2">
        <v>5517</v>
      </c>
      <c r="C715" s="4">
        <f>(WMT_data[[#This Row],[Último]]/B714)-1</f>
        <v>3.8209606986898681E-3</v>
      </c>
    </row>
    <row r="716" spans="1:3" x14ac:dyDescent="0.25">
      <c r="A716" s="1">
        <v>45233</v>
      </c>
      <c r="B716" s="2">
        <v>5489</v>
      </c>
      <c r="C716" s="4">
        <f>(WMT_data[[#This Row],[Último]]/B715)-1</f>
        <v>-5.0752220409643334E-3</v>
      </c>
    </row>
    <row r="717" spans="1:3" x14ac:dyDescent="0.25">
      <c r="A717" s="1">
        <v>45236</v>
      </c>
      <c r="B717" s="2">
        <v>5496</v>
      </c>
      <c r="C717" s="4">
        <f>(WMT_data[[#This Row],[Último]]/B716)-1</f>
        <v>1.2752778283839916E-3</v>
      </c>
    </row>
    <row r="718" spans="1:3" x14ac:dyDescent="0.25">
      <c r="A718" s="1">
        <v>45237</v>
      </c>
      <c r="B718" s="2">
        <v>5522</v>
      </c>
      <c r="C718" s="4">
        <f>(WMT_data[[#This Row],[Último]]/B717)-1</f>
        <v>4.7307132459970536E-3</v>
      </c>
    </row>
    <row r="719" spans="1:3" x14ac:dyDescent="0.25">
      <c r="A719" s="1">
        <v>45238</v>
      </c>
      <c r="B719" s="2">
        <v>5477</v>
      </c>
      <c r="C719" s="4">
        <f>(WMT_data[[#This Row],[Último]]/B718)-1</f>
        <v>-8.149221296631648E-3</v>
      </c>
    </row>
    <row r="720" spans="1:3" x14ac:dyDescent="0.25">
      <c r="A720" s="1">
        <v>45239</v>
      </c>
      <c r="B720" s="2">
        <v>5464</v>
      </c>
      <c r="C720" s="4">
        <f>(WMT_data[[#This Row],[Último]]/B719)-1</f>
        <v>-2.3735621690706976E-3</v>
      </c>
    </row>
    <row r="721" spans="1:3" x14ac:dyDescent="0.25">
      <c r="A721" s="1">
        <v>45240</v>
      </c>
      <c r="B721" s="2">
        <v>5540</v>
      </c>
      <c r="C721" s="4">
        <f>(WMT_data[[#This Row],[Último]]/B720)-1</f>
        <v>1.3909224011713128E-2</v>
      </c>
    </row>
    <row r="722" spans="1:3" x14ac:dyDescent="0.25">
      <c r="A722" s="1">
        <v>45243</v>
      </c>
      <c r="B722" s="2">
        <v>5589</v>
      </c>
      <c r="C722" s="4">
        <f>(WMT_data[[#This Row],[Último]]/B721)-1</f>
        <v>8.8447653429601925E-3</v>
      </c>
    </row>
    <row r="723" spans="1:3" x14ac:dyDescent="0.25">
      <c r="A723" s="1">
        <v>45244</v>
      </c>
      <c r="B723" s="2">
        <v>5588</v>
      </c>
      <c r="C723" s="4">
        <f>(WMT_data[[#This Row],[Último]]/B722)-1</f>
        <v>-1.789228842369317E-4</v>
      </c>
    </row>
    <row r="724" spans="1:3" x14ac:dyDescent="0.25">
      <c r="A724" s="1">
        <v>45245</v>
      </c>
      <c r="B724" s="2">
        <v>5659</v>
      </c>
      <c r="C724" s="4">
        <f>(WMT_data[[#This Row],[Último]]/B723)-1</f>
        <v>1.2705798138868962E-2</v>
      </c>
    </row>
    <row r="725" spans="1:3" x14ac:dyDescent="0.25">
      <c r="A725" s="1">
        <v>45246</v>
      </c>
      <c r="B725" s="2">
        <v>5201</v>
      </c>
      <c r="C725" s="4">
        <f>(WMT_data[[#This Row],[Último]]/B724)-1</f>
        <v>-8.0933027036578897E-2</v>
      </c>
    </row>
    <row r="726" spans="1:3" x14ac:dyDescent="0.25">
      <c r="A726" s="1">
        <v>45247</v>
      </c>
      <c r="B726" s="2">
        <v>5178</v>
      </c>
      <c r="C726" s="4">
        <f>(WMT_data[[#This Row],[Último]]/B725)-1</f>
        <v>-4.4222264949048684E-3</v>
      </c>
    </row>
    <row r="727" spans="1:3" x14ac:dyDescent="0.25">
      <c r="A727" s="1">
        <v>45250</v>
      </c>
      <c r="B727" s="2">
        <v>5177</v>
      </c>
      <c r="C727" s="4">
        <f>(WMT_data[[#This Row],[Último]]/B726)-1</f>
        <v>-1.931247585940099E-4</v>
      </c>
    </row>
    <row r="728" spans="1:3" x14ac:dyDescent="0.25">
      <c r="A728" s="1">
        <v>45251</v>
      </c>
      <c r="B728" s="2">
        <v>5195</v>
      </c>
      <c r="C728" s="4">
        <f>(WMT_data[[#This Row],[Último]]/B727)-1</f>
        <v>3.4769171334749771E-3</v>
      </c>
    </row>
    <row r="729" spans="1:3" x14ac:dyDescent="0.25">
      <c r="A729" s="1">
        <v>45252</v>
      </c>
      <c r="B729" s="2">
        <v>5156</v>
      </c>
      <c r="C729" s="4">
        <f>(WMT_data[[#This Row],[Último]]/B728)-1</f>
        <v>-7.5072184793070207E-3</v>
      </c>
    </row>
    <row r="730" spans="1:3" x14ac:dyDescent="0.25">
      <c r="A730" s="1">
        <v>45254</v>
      </c>
      <c r="B730" s="2">
        <v>5202</v>
      </c>
      <c r="C730" s="4">
        <f>(WMT_data[[#This Row],[Último]]/B729)-1</f>
        <v>8.9216446858029208E-3</v>
      </c>
    </row>
    <row r="731" spans="1:3" x14ac:dyDescent="0.25">
      <c r="A731" s="1">
        <v>45257</v>
      </c>
      <c r="B731" s="2">
        <v>5226</v>
      </c>
      <c r="C731" s="4">
        <f>(WMT_data[[#This Row],[Último]]/B730)-1</f>
        <v>4.6136101499423265E-3</v>
      </c>
    </row>
    <row r="732" spans="1:3" x14ac:dyDescent="0.25">
      <c r="A732" s="1">
        <v>45258</v>
      </c>
      <c r="B732" s="2">
        <v>5288</v>
      </c>
      <c r="C732" s="4">
        <f>(WMT_data[[#This Row],[Último]]/B731)-1</f>
        <v>1.1863758132414803E-2</v>
      </c>
    </row>
    <row r="733" spans="1:3" x14ac:dyDescent="0.25">
      <c r="A733" s="1">
        <v>45259</v>
      </c>
      <c r="B733" s="2">
        <v>5203</v>
      </c>
      <c r="C733" s="4">
        <f>(WMT_data[[#This Row],[Último]]/B732)-1</f>
        <v>-1.6074130105900197E-2</v>
      </c>
    </row>
    <row r="734" spans="1:3" x14ac:dyDescent="0.25">
      <c r="A734" s="1">
        <v>45260</v>
      </c>
      <c r="B734" s="2">
        <v>5190</v>
      </c>
      <c r="C734" s="4">
        <f>(WMT_data[[#This Row],[Último]]/B733)-1</f>
        <v>-2.4985585239285513E-3</v>
      </c>
    </row>
    <row r="735" spans="1:3" x14ac:dyDescent="0.25">
      <c r="A735" s="1">
        <v>45261</v>
      </c>
      <c r="B735" s="2">
        <v>5145</v>
      </c>
      <c r="C735" s="4">
        <f>(WMT_data[[#This Row],[Último]]/B734)-1</f>
        <v>-8.6705202312138407E-3</v>
      </c>
    </row>
    <row r="736" spans="1:3" x14ac:dyDescent="0.25">
      <c r="A736" s="1">
        <v>45264</v>
      </c>
      <c r="B736" s="2">
        <v>5143</v>
      </c>
      <c r="C736" s="4">
        <f>(WMT_data[[#This Row],[Último]]/B735)-1</f>
        <v>-3.8872691933911074E-4</v>
      </c>
    </row>
    <row r="737" spans="1:3" x14ac:dyDescent="0.25">
      <c r="A737" s="1">
        <v>45265</v>
      </c>
      <c r="B737" s="2">
        <v>5191</v>
      </c>
      <c r="C737" s="4">
        <f>(WMT_data[[#This Row],[Último]]/B736)-1</f>
        <v>9.3330740812755941E-3</v>
      </c>
    </row>
    <row r="738" spans="1:3" x14ac:dyDescent="0.25">
      <c r="A738" s="1">
        <v>45266</v>
      </c>
      <c r="B738" s="2">
        <v>5135</v>
      </c>
      <c r="C738" s="4">
        <f>(WMT_data[[#This Row],[Último]]/B737)-1</f>
        <v>-1.0787902138316263E-2</v>
      </c>
    </row>
    <row r="739" spans="1:3" x14ac:dyDescent="0.25">
      <c r="A739" s="1">
        <v>45267</v>
      </c>
      <c r="B739" s="2">
        <v>5082</v>
      </c>
      <c r="C739" s="4">
        <f>(WMT_data[[#This Row],[Último]]/B738)-1</f>
        <v>-1.0321324245374908E-2</v>
      </c>
    </row>
    <row r="740" spans="1:3" x14ac:dyDescent="0.25">
      <c r="A740" s="1">
        <v>45268</v>
      </c>
      <c r="B740" s="2">
        <v>5029</v>
      </c>
      <c r="C740" s="4">
        <f>(WMT_data[[#This Row],[Último]]/B739)-1</f>
        <v>-1.0428964974419475E-2</v>
      </c>
    </row>
    <row r="741" spans="1:3" x14ac:dyDescent="0.25">
      <c r="A741" s="1">
        <v>45271</v>
      </c>
      <c r="B741" s="2">
        <v>5041</v>
      </c>
      <c r="C741" s="4">
        <f>(WMT_data[[#This Row],[Último]]/B740)-1</f>
        <v>2.3861602704315921E-3</v>
      </c>
    </row>
    <row r="742" spans="1:3" x14ac:dyDescent="0.25">
      <c r="A742" s="1">
        <v>45272</v>
      </c>
      <c r="B742" s="2">
        <v>5045</v>
      </c>
      <c r="C742" s="4">
        <f>(WMT_data[[#This Row],[Último]]/B741)-1</f>
        <v>7.9349335449308001E-4</v>
      </c>
    </row>
    <row r="743" spans="1:3" x14ac:dyDescent="0.25">
      <c r="A743" s="1">
        <v>45273</v>
      </c>
      <c r="B743" s="2">
        <v>5135</v>
      </c>
      <c r="C743" s="4">
        <f>(WMT_data[[#This Row],[Último]]/B742)-1</f>
        <v>1.7839444995044529E-2</v>
      </c>
    </row>
    <row r="744" spans="1:3" x14ac:dyDescent="0.25">
      <c r="A744" s="1">
        <v>45274</v>
      </c>
      <c r="B744" s="2">
        <v>5072</v>
      </c>
      <c r="C744" s="4">
        <f>(WMT_data[[#This Row],[Último]]/B743)-1</f>
        <v>-1.226874391431354E-2</v>
      </c>
    </row>
    <row r="745" spans="1:3" x14ac:dyDescent="0.25">
      <c r="A745" s="1">
        <v>45275</v>
      </c>
      <c r="B745" s="2">
        <v>5091</v>
      </c>
      <c r="C745" s="4">
        <f>(WMT_data[[#This Row],[Último]]/B744)-1</f>
        <v>3.7460567823344171E-3</v>
      </c>
    </row>
    <row r="746" spans="1:3" x14ac:dyDescent="0.25">
      <c r="A746" s="1">
        <v>45278</v>
      </c>
      <c r="B746" s="2">
        <v>5166</v>
      </c>
      <c r="C746" s="4">
        <f>(WMT_data[[#This Row],[Último]]/B745)-1</f>
        <v>1.4731879787860835E-2</v>
      </c>
    </row>
    <row r="747" spans="1:3" x14ac:dyDescent="0.25">
      <c r="A747" s="1">
        <v>45279</v>
      </c>
      <c r="B747" s="2">
        <v>5184</v>
      </c>
      <c r="C747" s="4">
        <f>(WMT_data[[#This Row],[Último]]/B746)-1</f>
        <v>3.4843205574912606E-3</v>
      </c>
    </row>
    <row r="748" spans="1:3" x14ac:dyDescent="0.25">
      <c r="A748" s="1">
        <v>45280</v>
      </c>
      <c r="B748" s="2">
        <v>5124</v>
      </c>
      <c r="C748" s="4">
        <f>(WMT_data[[#This Row],[Último]]/B747)-1</f>
        <v>-1.157407407407407E-2</v>
      </c>
    </row>
    <row r="749" spans="1:3" x14ac:dyDescent="0.25">
      <c r="A749" s="1">
        <v>45281</v>
      </c>
      <c r="B749" s="2">
        <v>5160</v>
      </c>
      <c r="C749" s="4">
        <f>(WMT_data[[#This Row],[Último]]/B748)-1</f>
        <v>7.0257611241217877E-3</v>
      </c>
    </row>
    <row r="750" spans="1:3" x14ac:dyDescent="0.25">
      <c r="A750" s="1">
        <v>45282</v>
      </c>
      <c r="B750" s="2">
        <v>5222</v>
      </c>
      <c r="C750" s="4">
        <f>(WMT_data[[#This Row],[Último]]/B749)-1</f>
        <v>1.2015503875969058E-2</v>
      </c>
    </row>
    <row r="751" spans="1:3" x14ac:dyDescent="0.25">
      <c r="A751" s="1">
        <v>45286</v>
      </c>
      <c r="B751" s="2">
        <v>5214</v>
      </c>
      <c r="C751" s="4">
        <f>(WMT_data[[#This Row],[Último]]/B750)-1</f>
        <v>-1.5319800842589215E-3</v>
      </c>
    </row>
    <row r="752" spans="1:3" x14ac:dyDescent="0.25">
      <c r="A752" s="1">
        <v>45287</v>
      </c>
      <c r="B752" s="2">
        <v>5263</v>
      </c>
      <c r="C752" s="4">
        <f>(WMT_data[[#This Row],[Último]]/B751)-1</f>
        <v>9.3977752205600673E-3</v>
      </c>
    </row>
    <row r="753" spans="1:3" x14ac:dyDescent="0.25">
      <c r="A753" s="1">
        <v>45288</v>
      </c>
      <c r="B753" s="2">
        <v>5252</v>
      </c>
      <c r="C753" s="4">
        <f>(WMT_data[[#This Row],[Último]]/B752)-1</f>
        <v>-2.0900627018810569E-3</v>
      </c>
    </row>
    <row r="754" spans="1:3" x14ac:dyDescent="0.25">
      <c r="A754" s="1">
        <v>45289</v>
      </c>
      <c r="B754" s="2">
        <v>5255</v>
      </c>
      <c r="C754" s="4">
        <f>(WMT_data[[#This Row],[Último]]/B753)-1</f>
        <v>5.7121096725065712E-4</v>
      </c>
    </row>
    <row r="755" spans="1:3" x14ac:dyDescent="0.25">
      <c r="A755" s="1">
        <v>45293</v>
      </c>
      <c r="B755" s="2">
        <v>5310</v>
      </c>
      <c r="C755" s="4">
        <f>(WMT_data[[#This Row],[Último]]/B754)-1</f>
        <v>1.0466222645099998E-2</v>
      </c>
    </row>
    <row r="756" spans="1:3" x14ac:dyDescent="0.25">
      <c r="A756" s="1">
        <v>45294</v>
      </c>
      <c r="B756" s="2">
        <v>5310</v>
      </c>
      <c r="C756" s="4">
        <f>(WMT_data[[#This Row],[Último]]/B755)-1</f>
        <v>0</v>
      </c>
    </row>
    <row r="757" spans="1:3" x14ac:dyDescent="0.25">
      <c r="A757" s="1">
        <v>45295</v>
      </c>
      <c r="B757" s="2">
        <v>5259</v>
      </c>
      <c r="C757" s="4">
        <f>(WMT_data[[#This Row],[Último]]/B756)-1</f>
        <v>-9.6045197740113331E-3</v>
      </c>
    </row>
    <row r="758" spans="1:3" x14ac:dyDescent="0.25">
      <c r="A758" s="1">
        <v>45296</v>
      </c>
      <c r="B758" s="2">
        <v>5224</v>
      </c>
      <c r="C758" s="4">
        <f>(WMT_data[[#This Row],[Último]]/B757)-1</f>
        <v>-6.6552576535463537E-3</v>
      </c>
    </row>
    <row r="759" spans="1:3" x14ac:dyDescent="0.25">
      <c r="A759" s="1">
        <v>45299</v>
      </c>
      <c r="B759" s="2">
        <v>5275</v>
      </c>
      <c r="C759" s="4">
        <f>(WMT_data[[#This Row],[Último]]/B758)-1</f>
        <v>9.76263399693722E-3</v>
      </c>
    </row>
    <row r="760" spans="1:3" x14ac:dyDescent="0.25">
      <c r="A760" s="1">
        <v>45300</v>
      </c>
      <c r="B760" s="2">
        <v>5310</v>
      </c>
      <c r="C760" s="4">
        <f>(WMT_data[[#This Row],[Último]]/B759)-1</f>
        <v>6.6350710900473509E-3</v>
      </c>
    </row>
    <row r="761" spans="1:3" x14ac:dyDescent="0.25">
      <c r="A761" s="1">
        <v>45301</v>
      </c>
      <c r="B761" s="2">
        <v>5376</v>
      </c>
      <c r="C761" s="4">
        <f>(WMT_data[[#This Row],[Último]]/B760)-1</f>
        <v>1.2429378531073398E-2</v>
      </c>
    </row>
    <row r="762" spans="1:3" x14ac:dyDescent="0.25">
      <c r="A762" s="1">
        <v>45302</v>
      </c>
      <c r="B762" s="2">
        <v>5370</v>
      </c>
      <c r="C762" s="4">
        <f>(WMT_data[[#This Row],[Último]]/B761)-1</f>
        <v>-1.1160714285713969E-3</v>
      </c>
    </row>
    <row r="763" spans="1:3" x14ac:dyDescent="0.25">
      <c r="A763" s="1">
        <v>45303</v>
      </c>
      <c r="B763" s="2">
        <v>5377</v>
      </c>
      <c r="C763" s="4">
        <f>(WMT_data[[#This Row],[Último]]/B762)-1</f>
        <v>1.3035381750465813E-3</v>
      </c>
    </row>
    <row r="764" spans="1:3" x14ac:dyDescent="0.25">
      <c r="A764" s="1">
        <v>45307</v>
      </c>
      <c r="B764" s="2">
        <v>5394</v>
      </c>
      <c r="C764" s="4">
        <f>(WMT_data[[#This Row],[Último]]/B763)-1</f>
        <v>3.1616142830575011E-3</v>
      </c>
    </row>
    <row r="765" spans="1:3" x14ac:dyDescent="0.25">
      <c r="A765" s="1">
        <v>45308</v>
      </c>
      <c r="B765" s="2">
        <v>5369</v>
      </c>
      <c r="C765" s="4">
        <f>(WMT_data[[#This Row],[Último]]/B764)-1</f>
        <v>-4.6347793845012975E-3</v>
      </c>
    </row>
    <row r="766" spans="1:3" x14ac:dyDescent="0.25">
      <c r="A766" s="1">
        <v>45309</v>
      </c>
      <c r="B766" s="2">
        <v>5441</v>
      </c>
      <c r="C766" s="4">
        <f>(WMT_data[[#This Row],[Último]]/B765)-1</f>
        <v>1.3410318495064244E-2</v>
      </c>
    </row>
    <row r="767" spans="1:3" x14ac:dyDescent="0.25">
      <c r="A767" s="1">
        <v>45310</v>
      </c>
      <c r="B767" s="2">
        <v>5413</v>
      </c>
      <c r="C767" s="4">
        <f>(WMT_data[[#This Row],[Último]]/B766)-1</f>
        <v>-5.1461128469031392E-3</v>
      </c>
    </row>
    <row r="768" spans="1:3" x14ac:dyDescent="0.25">
      <c r="A768" s="1">
        <v>45313</v>
      </c>
      <c r="B768" s="2">
        <v>5413</v>
      </c>
      <c r="C768" s="4">
        <f>(WMT_data[[#This Row],[Último]]/B767)-1</f>
        <v>0</v>
      </c>
    </row>
    <row r="769" spans="1:3" x14ac:dyDescent="0.25">
      <c r="A769" s="1">
        <v>45314</v>
      </c>
      <c r="B769" s="2">
        <v>5427</v>
      </c>
      <c r="C769" s="4">
        <f>(WMT_data[[#This Row],[Último]]/B768)-1</f>
        <v>2.5863661555514117E-3</v>
      </c>
    </row>
    <row r="770" spans="1:3" x14ac:dyDescent="0.25">
      <c r="A770" s="1">
        <v>45315</v>
      </c>
      <c r="B770" s="2">
        <v>5350</v>
      </c>
      <c r="C770" s="4">
        <f>(WMT_data[[#This Row],[Último]]/B769)-1</f>
        <v>-1.4188317670904782E-2</v>
      </c>
    </row>
    <row r="771" spans="1:3" x14ac:dyDescent="0.25">
      <c r="A771" s="1">
        <v>45316</v>
      </c>
      <c r="B771" s="2">
        <v>5428</v>
      </c>
      <c r="C771" s="4">
        <f>(WMT_data[[#This Row],[Último]]/B770)-1</f>
        <v>1.4579439252336401E-2</v>
      </c>
    </row>
    <row r="772" spans="1:3" x14ac:dyDescent="0.25">
      <c r="A772" s="1">
        <v>45317</v>
      </c>
      <c r="B772" s="2">
        <v>5476</v>
      </c>
      <c r="C772" s="4">
        <f>(WMT_data[[#This Row],[Último]]/B771)-1</f>
        <v>8.8430361090641174E-3</v>
      </c>
    </row>
    <row r="773" spans="1:3" x14ac:dyDescent="0.25">
      <c r="A773" s="1">
        <v>45320</v>
      </c>
      <c r="B773" s="2">
        <v>5501</v>
      </c>
      <c r="C773" s="4">
        <f>(WMT_data[[#This Row],[Último]]/B772)-1</f>
        <v>4.565376186997705E-3</v>
      </c>
    </row>
    <row r="774" spans="1:3" x14ac:dyDescent="0.25">
      <c r="A774" s="1">
        <v>45321</v>
      </c>
      <c r="B774" s="2">
        <v>5520</v>
      </c>
      <c r="C774" s="4">
        <f>(WMT_data[[#This Row],[Último]]/B773)-1</f>
        <v>3.4539174695509267E-3</v>
      </c>
    </row>
    <row r="775" spans="1:3" x14ac:dyDescent="0.25">
      <c r="A775" s="1">
        <v>45322</v>
      </c>
      <c r="B775" s="2">
        <v>5508</v>
      </c>
      <c r="C775" s="4">
        <f>(WMT_data[[#This Row],[Último]]/B774)-1</f>
        <v>-2.1739130434782483E-3</v>
      </c>
    </row>
    <row r="776" spans="1:3" x14ac:dyDescent="0.25">
      <c r="A776" s="1">
        <v>45323</v>
      </c>
      <c r="B776" s="2">
        <v>5610</v>
      </c>
      <c r="C776" s="4">
        <f>(WMT_data[[#This Row],[Último]]/B775)-1</f>
        <v>1.8518518518518601E-2</v>
      </c>
    </row>
    <row r="777" spans="1:3" x14ac:dyDescent="0.25">
      <c r="A777" s="1">
        <v>45324</v>
      </c>
      <c r="B777" s="2">
        <v>5652</v>
      </c>
      <c r="C777" s="4">
        <f>(WMT_data[[#This Row],[Último]]/B776)-1</f>
        <v>7.4866310160428551E-3</v>
      </c>
    </row>
    <row r="778" spans="1:3" x14ac:dyDescent="0.25">
      <c r="A778" s="1">
        <v>45327</v>
      </c>
      <c r="B778" s="2">
        <v>5622</v>
      </c>
      <c r="C778" s="4">
        <f>(WMT_data[[#This Row],[Último]]/B777)-1</f>
        <v>-5.3078556263269627E-3</v>
      </c>
    </row>
    <row r="779" spans="1:3" x14ac:dyDescent="0.25">
      <c r="A779" s="1">
        <v>45328</v>
      </c>
      <c r="B779" s="2">
        <v>5660</v>
      </c>
      <c r="C779" s="4">
        <f>(WMT_data[[#This Row],[Último]]/B778)-1</f>
        <v>6.7591604411241235E-3</v>
      </c>
    </row>
    <row r="780" spans="1:3" x14ac:dyDescent="0.25">
      <c r="A780" s="1">
        <v>45329</v>
      </c>
      <c r="B780" s="2">
        <v>5646</v>
      </c>
      <c r="C780" s="4">
        <f>(WMT_data[[#This Row],[Último]]/B779)-1</f>
        <v>-2.4734982332155209E-3</v>
      </c>
    </row>
    <row r="781" spans="1:3" x14ac:dyDescent="0.25">
      <c r="A781" s="1">
        <v>45330</v>
      </c>
      <c r="B781" s="2">
        <v>5646</v>
      </c>
      <c r="C781" s="4">
        <f>(WMT_data[[#This Row],[Último]]/B780)-1</f>
        <v>0</v>
      </c>
    </row>
    <row r="782" spans="1:3" x14ac:dyDescent="0.25">
      <c r="A782" s="1">
        <v>45331</v>
      </c>
      <c r="B782" s="2">
        <v>5643</v>
      </c>
      <c r="C782" s="4">
        <f>(WMT_data[[#This Row],[Último]]/B781)-1</f>
        <v>-5.3134962805523323E-4</v>
      </c>
    </row>
    <row r="783" spans="1:3" x14ac:dyDescent="0.25">
      <c r="A783" s="1">
        <v>45334</v>
      </c>
      <c r="B783" s="2">
        <v>5677</v>
      </c>
      <c r="C783" s="4">
        <f>(WMT_data[[#This Row],[Último]]/B782)-1</f>
        <v>6.0251639199007112E-3</v>
      </c>
    </row>
    <row r="784" spans="1:3" x14ac:dyDescent="0.25">
      <c r="A784" s="1">
        <v>45335</v>
      </c>
      <c r="B784" s="2">
        <v>5638</v>
      </c>
      <c r="C784" s="4">
        <f>(WMT_data[[#This Row],[Último]]/B783)-1</f>
        <v>-6.8698256121191292E-3</v>
      </c>
    </row>
    <row r="785" spans="1:3" x14ac:dyDescent="0.25">
      <c r="A785" s="1">
        <v>45336</v>
      </c>
      <c r="B785" s="2">
        <v>5620</v>
      </c>
      <c r="C785" s="4">
        <f>(WMT_data[[#This Row],[Último]]/B784)-1</f>
        <v>-3.1926214969847377E-3</v>
      </c>
    </row>
    <row r="786" spans="1:3" x14ac:dyDescent="0.25">
      <c r="A786" s="1">
        <v>45337</v>
      </c>
      <c r="B786" s="2">
        <v>5643</v>
      </c>
      <c r="C786" s="4">
        <f>(WMT_data[[#This Row],[Último]]/B785)-1</f>
        <v>4.092526690391507E-3</v>
      </c>
    </row>
    <row r="787" spans="1:3" x14ac:dyDescent="0.25">
      <c r="A787" s="1">
        <v>45338</v>
      </c>
      <c r="B787" s="2">
        <v>5679</v>
      </c>
      <c r="C787" s="4">
        <f>(WMT_data[[#This Row],[Último]]/B786)-1</f>
        <v>6.3795853269537073E-3</v>
      </c>
    </row>
    <row r="788" spans="1:3" x14ac:dyDescent="0.25">
      <c r="A788" s="1">
        <v>45342</v>
      </c>
      <c r="B788" s="2">
        <v>5862</v>
      </c>
      <c r="C788" s="4">
        <f>(WMT_data[[#This Row],[Último]]/B787)-1</f>
        <v>3.2223983095615472E-2</v>
      </c>
    </row>
    <row r="789" spans="1:3" x14ac:dyDescent="0.25">
      <c r="A789" s="1">
        <v>45343</v>
      </c>
      <c r="B789" s="2">
        <v>5790</v>
      </c>
      <c r="C789" s="4">
        <f>(WMT_data[[#This Row],[Último]]/B788)-1</f>
        <v>-1.2282497441146401E-2</v>
      </c>
    </row>
    <row r="790" spans="1:3" x14ac:dyDescent="0.25">
      <c r="A790" s="1">
        <v>45344</v>
      </c>
      <c r="B790" s="2">
        <v>5847</v>
      </c>
      <c r="C790" s="4">
        <f>(WMT_data[[#This Row],[Último]]/B789)-1</f>
        <v>9.8445595854921297E-3</v>
      </c>
    </row>
    <row r="791" spans="1:3" x14ac:dyDescent="0.25">
      <c r="A791" s="1">
        <v>45345</v>
      </c>
      <c r="B791" s="2">
        <v>5852</v>
      </c>
      <c r="C791" s="4">
        <f>(WMT_data[[#This Row],[Último]]/B790)-1</f>
        <v>8.5513938772030507E-4</v>
      </c>
    </row>
    <row r="792" spans="1:3" x14ac:dyDescent="0.25">
      <c r="A792" s="1">
        <v>45348</v>
      </c>
      <c r="B792" s="2">
        <v>5960</v>
      </c>
      <c r="C792" s="4">
        <f>(WMT_data[[#This Row],[Último]]/B791)-1</f>
        <v>1.8455228981544725E-2</v>
      </c>
    </row>
    <row r="793" spans="1:3" x14ac:dyDescent="0.25">
      <c r="A793" s="1">
        <v>45349</v>
      </c>
      <c r="B793" s="2">
        <v>5959</v>
      </c>
      <c r="C793" s="4">
        <f>(WMT_data[[#This Row],[Último]]/B792)-1</f>
        <v>-1.677852348993536E-4</v>
      </c>
    </row>
    <row r="794" spans="1:3" x14ac:dyDescent="0.25">
      <c r="A794" s="1">
        <v>45350</v>
      </c>
      <c r="B794" s="2">
        <v>5962</v>
      </c>
      <c r="C794" s="4">
        <f>(WMT_data[[#This Row],[Último]]/B793)-1</f>
        <v>5.0344017452585987E-4</v>
      </c>
    </row>
    <row r="795" spans="1:3" x14ac:dyDescent="0.25">
      <c r="A795" s="1">
        <v>45351</v>
      </c>
      <c r="B795" s="2">
        <v>5861</v>
      </c>
      <c r="C795" s="4">
        <f>(WMT_data[[#This Row],[Último]]/B794)-1</f>
        <v>-1.6940623951694045E-2</v>
      </c>
    </row>
    <row r="796" spans="1:3" x14ac:dyDescent="0.25">
      <c r="A796" s="1">
        <v>45352</v>
      </c>
      <c r="B796" s="2">
        <v>5876</v>
      </c>
      <c r="C796" s="4">
        <f>(WMT_data[[#This Row],[Último]]/B795)-1</f>
        <v>2.5592902235114234E-3</v>
      </c>
    </row>
    <row r="797" spans="1:3" x14ac:dyDescent="0.25">
      <c r="A797" s="1">
        <v>45355</v>
      </c>
      <c r="B797" s="2">
        <v>5930</v>
      </c>
      <c r="C797" s="4">
        <f>(WMT_data[[#This Row],[Último]]/B796)-1</f>
        <v>9.1899251191287501E-3</v>
      </c>
    </row>
    <row r="798" spans="1:3" x14ac:dyDescent="0.25">
      <c r="A798" s="1">
        <v>45356</v>
      </c>
      <c r="B798" s="2">
        <v>6004</v>
      </c>
      <c r="C798" s="4">
        <f>(WMT_data[[#This Row],[Último]]/B797)-1</f>
        <v>1.2478920741989974E-2</v>
      </c>
    </row>
    <row r="799" spans="1:3" x14ac:dyDescent="0.25">
      <c r="A799" s="1">
        <v>45357</v>
      </c>
      <c r="B799" s="2">
        <v>6057</v>
      </c>
      <c r="C799" s="4">
        <f>(WMT_data[[#This Row],[Último]]/B798)-1</f>
        <v>8.8274483677548421E-3</v>
      </c>
    </row>
    <row r="800" spans="1:3" x14ac:dyDescent="0.25">
      <c r="A800" s="1">
        <v>45358</v>
      </c>
      <c r="B800" s="2">
        <v>6036</v>
      </c>
      <c r="C800" s="4">
        <f>(WMT_data[[#This Row],[Último]]/B799)-1</f>
        <v>-3.4670629024269317E-3</v>
      </c>
    </row>
    <row r="801" spans="1:3" x14ac:dyDescent="0.25">
      <c r="A801" s="1">
        <v>45359</v>
      </c>
      <c r="B801" s="2">
        <v>6012</v>
      </c>
      <c r="C801" s="4">
        <f>(WMT_data[[#This Row],[Último]]/B800)-1</f>
        <v>-3.9761431411531323E-3</v>
      </c>
    </row>
    <row r="802" spans="1:3" x14ac:dyDescent="0.25">
      <c r="A802" s="1">
        <v>45362</v>
      </c>
      <c r="B802" s="2">
        <v>6066</v>
      </c>
      <c r="C802" s="4">
        <f>(WMT_data[[#This Row],[Último]]/B801)-1</f>
        <v>8.9820359281436168E-3</v>
      </c>
    </row>
    <row r="803" spans="1:3" x14ac:dyDescent="0.25">
      <c r="A803" s="1">
        <v>45363</v>
      </c>
      <c r="B803" s="2">
        <v>6141</v>
      </c>
      <c r="C803" s="4">
        <f>(WMT_data[[#This Row],[Último]]/B802)-1</f>
        <v>1.2363996043521341E-2</v>
      </c>
    </row>
    <row r="804" spans="1:3" x14ac:dyDescent="0.25">
      <c r="A804" s="1">
        <v>45364</v>
      </c>
      <c r="B804" s="2">
        <v>6128</v>
      </c>
      <c r="C804" s="4">
        <f>(WMT_data[[#This Row],[Último]]/B803)-1</f>
        <v>-2.1169190685556005E-3</v>
      </c>
    </row>
    <row r="805" spans="1:3" x14ac:dyDescent="0.25">
      <c r="A805" s="1">
        <v>45365</v>
      </c>
      <c r="B805" s="2">
        <v>6102</v>
      </c>
      <c r="C805" s="4">
        <f>(WMT_data[[#This Row],[Último]]/B804)-1</f>
        <v>-4.2428198433420716E-3</v>
      </c>
    </row>
    <row r="806" spans="1:3" x14ac:dyDescent="0.25">
      <c r="A806" s="1">
        <v>45366</v>
      </c>
      <c r="B806" s="2">
        <v>6068</v>
      </c>
      <c r="C806" s="4">
        <f>(WMT_data[[#This Row],[Último]]/B805)-1</f>
        <v>-5.5719436250409871E-3</v>
      </c>
    </row>
    <row r="807" spans="1:3" x14ac:dyDescent="0.25">
      <c r="A807" s="1">
        <v>45369</v>
      </c>
      <c r="B807" s="2">
        <v>6086</v>
      </c>
      <c r="C807" s="4">
        <f>(WMT_data[[#This Row],[Último]]/B806)-1</f>
        <v>2.9663810151614456E-3</v>
      </c>
    </row>
    <row r="808" spans="1:3" x14ac:dyDescent="0.25">
      <c r="A808" s="1">
        <v>45370</v>
      </c>
      <c r="B808" s="2">
        <v>6087</v>
      </c>
      <c r="C808" s="4">
        <f>(WMT_data[[#This Row],[Último]]/B807)-1</f>
        <v>1.6431153466966997E-4</v>
      </c>
    </row>
    <row r="809" spans="1:3" x14ac:dyDescent="0.25">
      <c r="A809" s="1">
        <v>45371</v>
      </c>
      <c r="B809" s="2">
        <v>6125</v>
      </c>
      <c r="C809" s="4">
        <f>(WMT_data[[#This Row],[Último]]/B808)-1</f>
        <v>6.242812551338961E-3</v>
      </c>
    </row>
    <row r="810" spans="1:3" x14ac:dyDescent="0.25">
      <c r="A810" s="1">
        <v>45372</v>
      </c>
      <c r="B810" s="2">
        <v>6145</v>
      </c>
      <c r="C810" s="4">
        <f>(WMT_data[[#This Row],[Último]]/B809)-1</f>
        <v>3.2653061224490187E-3</v>
      </c>
    </row>
    <row r="811" spans="1:3" x14ac:dyDescent="0.25">
      <c r="A811" s="1">
        <v>45373</v>
      </c>
      <c r="B811" s="2">
        <v>6087</v>
      </c>
      <c r="C811" s="4">
        <f>(WMT_data[[#This Row],[Último]]/B810)-1</f>
        <v>-9.438567941415732E-3</v>
      </c>
    </row>
    <row r="812" spans="1:3" x14ac:dyDescent="0.25">
      <c r="A812" s="1">
        <v>45376</v>
      </c>
      <c r="B812" s="2">
        <v>6057</v>
      </c>
      <c r="C812" s="4">
        <f>(WMT_data[[#This Row],[Último]]/B811)-1</f>
        <v>-4.928536224741209E-3</v>
      </c>
    </row>
    <row r="813" spans="1:3" x14ac:dyDescent="0.25">
      <c r="A813" s="1">
        <v>45377</v>
      </c>
      <c r="B813" s="2">
        <v>6051</v>
      </c>
      <c r="C813" s="4">
        <f>(WMT_data[[#This Row],[Último]]/B812)-1</f>
        <v>-9.9058940069340906E-4</v>
      </c>
    </row>
    <row r="814" spans="1:3" x14ac:dyDescent="0.25">
      <c r="A814" s="1">
        <v>45378</v>
      </c>
      <c r="B814" s="2">
        <v>6072</v>
      </c>
      <c r="C814" s="4">
        <f>(WMT_data[[#This Row],[Último]]/B813)-1</f>
        <v>3.4705007436788282E-3</v>
      </c>
    </row>
    <row r="815" spans="1:3" x14ac:dyDescent="0.25">
      <c r="A815" s="1">
        <v>45379</v>
      </c>
      <c r="B815" s="2">
        <v>6017</v>
      </c>
      <c r="C815" s="4">
        <f>(WMT_data[[#This Row],[Último]]/B814)-1</f>
        <v>-9.0579710144927938E-3</v>
      </c>
    </row>
    <row r="816" spans="1:3" x14ac:dyDescent="0.25">
      <c r="A816" s="1">
        <v>45383</v>
      </c>
      <c r="B816" s="2">
        <v>6000</v>
      </c>
      <c r="C816" s="4">
        <f>(WMT_data[[#This Row],[Último]]/B815)-1</f>
        <v>-2.8253282366628163E-3</v>
      </c>
    </row>
    <row r="817" spans="1:3" x14ac:dyDescent="0.25">
      <c r="A817" s="1">
        <v>45384</v>
      </c>
      <c r="B817" s="2">
        <v>5916</v>
      </c>
      <c r="C817" s="4">
        <f>(WMT_data[[#This Row],[Último]]/B816)-1</f>
        <v>-1.4000000000000012E-2</v>
      </c>
    </row>
    <row r="818" spans="1:3" x14ac:dyDescent="0.25">
      <c r="A818" s="1">
        <v>45385</v>
      </c>
      <c r="B818" s="2">
        <v>5943</v>
      </c>
      <c r="C818" s="4">
        <f>(WMT_data[[#This Row],[Último]]/B817)-1</f>
        <v>4.563894523326617E-3</v>
      </c>
    </row>
    <row r="819" spans="1:3" x14ac:dyDescent="0.25">
      <c r="A819" s="1">
        <v>45386</v>
      </c>
      <c r="B819" s="2">
        <v>5950</v>
      </c>
      <c r="C819" s="4">
        <f>(WMT_data[[#This Row],[Último]]/B818)-1</f>
        <v>1.1778563015312216E-3</v>
      </c>
    </row>
    <row r="820" spans="1:3" x14ac:dyDescent="0.25">
      <c r="A820" s="1">
        <v>45387</v>
      </c>
      <c r="B820" s="2">
        <v>5985</v>
      </c>
      <c r="C820" s="4">
        <f>(WMT_data[[#This Row],[Último]]/B819)-1</f>
        <v>5.8823529411764497E-3</v>
      </c>
    </row>
    <row r="821" spans="1:3" x14ac:dyDescent="0.25">
      <c r="A821" s="1">
        <v>45390</v>
      </c>
      <c r="B821" s="2">
        <v>5978</v>
      </c>
      <c r="C821" s="4">
        <f>(WMT_data[[#This Row],[Último]]/B820)-1</f>
        <v>-1.1695906432748204E-3</v>
      </c>
    </row>
    <row r="822" spans="1:3" x14ac:dyDescent="0.25">
      <c r="A822" s="1">
        <v>45391</v>
      </c>
      <c r="B822" s="2">
        <v>5979</v>
      </c>
      <c r="C822" s="4">
        <f>(WMT_data[[#This Row],[Último]]/B821)-1</f>
        <v>1.6728002676469345E-4</v>
      </c>
    </row>
    <row r="823" spans="1:3" x14ac:dyDescent="0.25">
      <c r="A823" s="1">
        <v>45392</v>
      </c>
      <c r="B823" s="2">
        <v>6062</v>
      </c>
      <c r="C823" s="4">
        <f>(WMT_data[[#This Row],[Último]]/B822)-1</f>
        <v>1.3881920053520735E-2</v>
      </c>
    </row>
    <row r="824" spans="1:3" x14ac:dyDescent="0.25">
      <c r="A824" s="1">
        <v>45393</v>
      </c>
      <c r="B824" s="2">
        <v>6009</v>
      </c>
      <c r="C824" s="4">
        <f>(WMT_data[[#This Row],[Último]]/B823)-1</f>
        <v>-8.7429891125041514E-3</v>
      </c>
    </row>
    <row r="825" spans="1:3" x14ac:dyDescent="0.25">
      <c r="A825" s="1">
        <v>45394</v>
      </c>
      <c r="B825" s="2">
        <v>6014</v>
      </c>
      <c r="C825" s="4">
        <f>(WMT_data[[#This Row],[Último]]/B824)-1</f>
        <v>8.3208520552502385E-4</v>
      </c>
    </row>
    <row r="826" spans="1:3" x14ac:dyDescent="0.25">
      <c r="A826" s="1">
        <v>45397</v>
      </c>
      <c r="B826" s="2">
        <v>5993</v>
      </c>
      <c r="C826" s="4">
        <f>(WMT_data[[#This Row],[Último]]/B825)-1</f>
        <v>-3.4918523445294225E-3</v>
      </c>
    </row>
    <row r="827" spans="1:3" x14ac:dyDescent="0.25">
      <c r="A827" s="1">
        <v>45398</v>
      </c>
      <c r="B827" s="2">
        <v>5984</v>
      </c>
      <c r="C827" s="4">
        <f>(WMT_data[[#This Row],[Último]]/B826)-1</f>
        <v>-1.501752044051341E-3</v>
      </c>
    </row>
    <row r="828" spans="1:3" x14ac:dyDescent="0.25">
      <c r="A828" s="1">
        <v>45399</v>
      </c>
      <c r="B828" s="2">
        <v>5965</v>
      </c>
      <c r="C828" s="4">
        <f>(WMT_data[[#This Row],[Último]]/B827)-1</f>
        <v>-3.175133689839571E-3</v>
      </c>
    </row>
    <row r="829" spans="1:3" x14ac:dyDescent="0.25">
      <c r="A829" s="1">
        <v>45400</v>
      </c>
      <c r="B829" s="2">
        <v>5926</v>
      </c>
      <c r="C829" s="4">
        <f>(WMT_data[[#This Row],[Último]]/B828)-1</f>
        <v>-6.5381391450125559E-3</v>
      </c>
    </row>
    <row r="830" spans="1:3" x14ac:dyDescent="0.25">
      <c r="A830" s="1">
        <v>45401</v>
      </c>
      <c r="B830" s="2">
        <v>5953</v>
      </c>
      <c r="C830" s="4">
        <f>(WMT_data[[#This Row],[Último]]/B829)-1</f>
        <v>4.5561930475868095E-3</v>
      </c>
    </row>
    <row r="831" spans="1:3" x14ac:dyDescent="0.25">
      <c r="A831" s="1">
        <v>45404</v>
      </c>
      <c r="B831" s="2">
        <v>6014</v>
      </c>
      <c r="C831" s="4">
        <f>(WMT_data[[#This Row],[Último]]/B830)-1</f>
        <v>1.0246934318830947E-2</v>
      </c>
    </row>
    <row r="832" spans="1:3" x14ac:dyDescent="0.25">
      <c r="A832" s="1">
        <v>45405</v>
      </c>
      <c r="B832" s="2">
        <v>5909</v>
      </c>
      <c r="C832" s="4">
        <f>(WMT_data[[#This Row],[Último]]/B831)-1</f>
        <v>-1.7459261722647113E-2</v>
      </c>
    </row>
    <row r="833" spans="1:3" x14ac:dyDescent="0.25">
      <c r="A833" s="1">
        <v>45406</v>
      </c>
      <c r="B833" s="2">
        <v>5987</v>
      </c>
      <c r="C833" s="4">
        <f>(WMT_data[[#This Row],[Último]]/B832)-1</f>
        <v>1.3200203080047324E-2</v>
      </c>
    </row>
    <row r="834" spans="1:3" x14ac:dyDescent="0.25">
      <c r="A834" s="1">
        <v>45407</v>
      </c>
      <c r="B834" s="2">
        <v>6021</v>
      </c>
      <c r="C834" s="4">
        <f>(WMT_data[[#This Row],[Último]]/B833)-1</f>
        <v>5.6789711040587942E-3</v>
      </c>
    </row>
    <row r="835" spans="1:3" x14ac:dyDescent="0.25">
      <c r="A835" s="1">
        <v>45408</v>
      </c>
      <c r="B835" s="2">
        <v>6016</v>
      </c>
      <c r="C835" s="4">
        <f>(WMT_data[[#This Row],[Último]]/B834)-1</f>
        <v>-8.3042683939549278E-4</v>
      </c>
    </row>
    <row r="836" spans="1:3" x14ac:dyDescent="0.25">
      <c r="A836" s="1">
        <v>45411</v>
      </c>
      <c r="B836" s="2">
        <v>6024</v>
      </c>
      <c r="C836" s="4">
        <f>(WMT_data[[#This Row],[Último]]/B835)-1</f>
        <v>1.3297872340425343E-3</v>
      </c>
    </row>
    <row r="837" spans="1:3" x14ac:dyDescent="0.25">
      <c r="A837" s="1">
        <v>45412</v>
      </c>
      <c r="B837" s="2">
        <v>5935</v>
      </c>
      <c r="C837" s="4">
        <f>(WMT_data[[#This Row],[Último]]/B836)-1</f>
        <v>-1.4774236387782191E-2</v>
      </c>
    </row>
    <row r="838" spans="1:3" x14ac:dyDescent="0.25">
      <c r="A838" s="1">
        <v>45413</v>
      </c>
      <c r="B838" s="2">
        <v>5885</v>
      </c>
      <c r="C838" s="4">
        <f>(WMT_data[[#This Row],[Último]]/B837)-1</f>
        <v>-8.4245998315080062E-3</v>
      </c>
    </row>
    <row r="839" spans="1:3" x14ac:dyDescent="0.25">
      <c r="A839" s="1">
        <v>45414</v>
      </c>
      <c r="B839" s="2">
        <v>5971</v>
      </c>
      <c r="C839" s="4">
        <f>(WMT_data[[#This Row],[Último]]/B838)-1</f>
        <v>1.4613423959218386E-2</v>
      </c>
    </row>
    <row r="840" spans="1:3" x14ac:dyDescent="0.25">
      <c r="A840" s="1">
        <v>45415</v>
      </c>
      <c r="B840" s="2">
        <v>5982</v>
      </c>
      <c r="C840" s="4">
        <f>(WMT_data[[#This Row],[Último]]/B839)-1</f>
        <v>1.8422374811588593E-3</v>
      </c>
    </row>
    <row r="841" spans="1:3" x14ac:dyDescent="0.25">
      <c r="A841" s="1">
        <v>45418</v>
      </c>
      <c r="B841" s="2">
        <v>5987</v>
      </c>
      <c r="C841" s="4">
        <f>(WMT_data[[#This Row],[Último]]/B840)-1</f>
        <v>8.3584085590104884E-4</v>
      </c>
    </row>
    <row r="842" spans="1:3" x14ac:dyDescent="0.25">
      <c r="A842" s="1">
        <v>45419</v>
      </c>
      <c r="B842" s="2">
        <v>6062</v>
      </c>
      <c r="C842" s="4">
        <f>(WMT_data[[#This Row],[Último]]/B841)-1</f>
        <v>1.2527142141306236E-2</v>
      </c>
    </row>
    <row r="843" spans="1:3" x14ac:dyDescent="0.25">
      <c r="A843" s="1">
        <v>45420</v>
      </c>
      <c r="B843" s="2">
        <v>6030</v>
      </c>
      <c r="C843" s="4">
        <f>(WMT_data[[#This Row],[Último]]/B842)-1</f>
        <v>-5.2787858792477937E-3</v>
      </c>
    </row>
    <row r="844" spans="1:3" x14ac:dyDescent="0.25">
      <c r="A844" s="1">
        <v>45421</v>
      </c>
      <c r="B844" s="2">
        <v>6044</v>
      </c>
      <c r="C844" s="4">
        <f>(WMT_data[[#This Row],[Último]]/B843)-1</f>
        <v>2.3217247097844229E-3</v>
      </c>
    </row>
    <row r="845" spans="1:3" x14ac:dyDescent="0.25">
      <c r="A845" s="1">
        <v>45422</v>
      </c>
      <c r="B845" s="2">
        <v>6048</v>
      </c>
      <c r="C845" s="4">
        <f>(WMT_data[[#This Row],[Último]]/B844)-1</f>
        <v>6.6181336863002649E-4</v>
      </c>
    </row>
    <row r="846" spans="1:3" x14ac:dyDescent="0.25">
      <c r="A846" s="1">
        <v>45425</v>
      </c>
      <c r="B846" s="2">
        <v>6041</v>
      </c>
      <c r="C846" s="4">
        <f>(WMT_data[[#This Row],[Último]]/B845)-1</f>
        <v>-1.1574074074074403E-3</v>
      </c>
    </row>
    <row r="847" spans="1:3" x14ac:dyDescent="0.25">
      <c r="A847" s="1">
        <v>45426</v>
      </c>
      <c r="B847" s="2">
        <v>5986</v>
      </c>
      <c r="C847" s="4">
        <f>(WMT_data[[#This Row],[Último]]/B846)-1</f>
        <v>-9.1044529051481637E-3</v>
      </c>
    </row>
    <row r="848" spans="1:3" x14ac:dyDescent="0.25">
      <c r="A848" s="1">
        <v>45427</v>
      </c>
      <c r="B848" s="2">
        <v>5983</v>
      </c>
      <c r="C848" s="4">
        <f>(WMT_data[[#This Row],[Último]]/B847)-1</f>
        <v>-5.0116939525557402E-4</v>
      </c>
    </row>
    <row r="849" spans="1:3" x14ac:dyDescent="0.25">
      <c r="A849" s="1">
        <v>45428</v>
      </c>
      <c r="B849" s="2">
        <v>6401</v>
      </c>
      <c r="C849" s="4">
        <f>(WMT_data[[#This Row],[Último]]/B848)-1</f>
        <v>6.9864616413170655E-2</v>
      </c>
    </row>
    <row r="850" spans="1:3" x14ac:dyDescent="0.25">
      <c r="A850" s="1">
        <v>45429</v>
      </c>
      <c r="B850" s="2">
        <v>6465</v>
      </c>
      <c r="C850" s="4">
        <f>(WMT_data[[#This Row],[Último]]/B849)-1</f>
        <v>9.998437744102473E-3</v>
      </c>
    </row>
    <row r="851" spans="1:3" x14ac:dyDescent="0.25">
      <c r="A851" s="1">
        <v>45432</v>
      </c>
      <c r="B851" s="2">
        <v>6418</v>
      </c>
      <c r="C851" s="4">
        <f>(WMT_data[[#This Row],[Último]]/B850)-1</f>
        <v>-7.2699149265275098E-3</v>
      </c>
    </row>
    <row r="852" spans="1:3" x14ac:dyDescent="0.25">
      <c r="A852" s="1">
        <v>45433</v>
      </c>
      <c r="B852" s="2">
        <v>6515</v>
      </c>
      <c r="C852" s="4">
        <f>(WMT_data[[#This Row],[Último]]/B851)-1</f>
        <v>1.5113742598940494E-2</v>
      </c>
    </row>
    <row r="853" spans="1:3" x14ac:dyDescent="0.25">
      <c r="A853" s="1">
        <v>45434</v>
      </c>
      <c r="B853" s="2">
        <v>6525</v>
      </c>
      <c r="C853" s="4">
        <f>(WMT_data[[#This Row],[Último]]/B852)-1</f>
        <v>1.5349194167306734E-3</v>
      </c>
    </row>
    <row r="854" spans="1:3" x14ac:dyDescent="0.25">
      <c r="A854" s="1">
        <v>45435</v>
      </c>
      <c r="B854" s="2">
        <v>6484</v>
      </c>
      <c r="C854" s="4">
        <f>(WMT_data[[#This Row],[Último]]/B853)-1</f>
        <v>-6.2835249042145769E-3</v>
      </c>
    </row>
    <row r="855" spans="1:3" x14ac:dyDescent="0.25">
      <c r="A855" s="1">
        <v>45436</v>
      </c>
      <c r="B855" s="2">
        <v>6538</v>
      </c>
      <c r="C855" s="4">
        <f>(WMT_data[[#This Row],[Último]]/B854)-1</f>
        <v>8.3281924737816926E-3</v>
      </c>
    </row>
    <row r="856" spans="1:3" x14ac:dyDescent="0.25">
      <c r="A856" s="1">
        <v>45440</v>
      </c>
      <c r="B856" s="2">
        <v>6504</v>
      </c>
      <c r="C856" s="4">
        <f>(WMT_data[[#This Row],[Último]]/B855)-1</f>
        <v>-5.2003670847353689E-3</v>
      </c>
    </row>
    <row r="857" spans="1:3" x14ac:dyDescent="0.25">
      <c r="A857" s="1">
        <v>45441</v>
      </c>
      <c r="B857" s="2">
        <v>6492</v>
      </c>
      <c r="C857" s="4">
        <f>(WMT_data[[#This Row],[Último]]/B856)-1</f>
        <v>-1.8450184501844769E-3</v>
      </c>
    </row>
    <row r="858" spans="1:3" x14ac:dyDescent="0.25">
      <c r="A858" s="1">
        <v>45442</v>
      </c>
      <c r="B858" s="2">
        <v>6489</v>
      </c>
      <c r="C858" s="4">
        <f>(WMT_data[[#This Row],[Último]]/B857)-1</f>
        <v>-4.6210720887240875E-4</v>
      </c>
    </row>
    <row r="859" spans="1:3" x14ac:dyDescent="0.25">
      <c r="A859" s="1">
        <v>45443</v>
      </c>
      <c r="B859" s="2">
        <v>6576</v>
      </c>
      <c r="C859" s="4">
        <f>(WMT_data[[#This Row],[Último]]/B858)-1</f>
        <v>1.3407304669440512E-2</v>
      </c>
    </row>
    <row r="860" spans="1:3" x14ac:dyDescent="0.25">
      <c r="A860" s="1">
        <v>45446</v>
      </c>
      <c r="B860" s="2">
        <v>6582</v>
      </c>
      <c r="C860" s="4">
        <f>(WMT_data[[#This Row],[Último]]/B859)-1</f>
        <v>9.1240875912412811E-4</v>
      </c>
    </row>
    <row r="861" spans="1:3" x14ac:dyDescent="0.25">
      <c r="A861" s="1">
        <v>45447</v>
      </c>
      <c r="B861" s="2">
        <v>6660</v>
      </c>
      <c r="C861" s="4">
        <f>(WMT_data[[#This Row],[Último]]/B860)-1</f>
        <v>1.185050136736554E-2</v>
      </c>
    </row>
    <row r="862" spans="1:3" x14ac:dyDescent="0.25">
      <c r="A862" s="1">
        <v>45448</v>
      </c>
      <c r="B862" s="2">
        <v>6709</v>
      </c>
      <c r="C862" s="4">
        <f>(WMT_data[[#This Row],[Último]]/B861)-1</f>
        <v>7.3573573573573192E-3</v>
      </c>
    </row>
    <row r="863" spans="1:3" x14ac:dyDescent="0.25">
      <c r="A863" s="1">
        <v>45449</v>
      </c>
      <c r="B863" s="2">
        <v>6715</v>
      </c>
      <c r="C863" s="4">
        <f>(WMT_data[[#This Row],[Último]]/B862)-1</f>
        <v>8.9432106126108302E-4</v>
      </c>
    </row>
    <row r="864" spans="1:3" x14ac:dyDescent="0.25">
      <c r="A864" s="1">
        <v>45450</v>
      </c>
      <c r="B864" s="2">
        <v>6588</v>
      </c>
      <c r="C864" s="4">
        <f>(WMT_data[[#This Row],[Último]]/B863)-1</f>
        <v>-1.8912881608339593E-2</v>
      </c>
    </row>
    <row r="865" spans="1:3" x14ac:dyDescent="0.25">
      <c r="A865" s="1">
        <v>45453</v>
      </c>
      <c r="B865" s="2">
        <v>6696</v>
      </c>
      <c r="C865" s="4">
        <f>(WMT_data[[#This Row],[Último]]/B864)-1</f>
        <v>1.6393442622950838E-2</v>
      </c>
    </row>
    <row r="866" spans="1:3" x14ac:dyDescent="0.25">
      <c r="A866" s="1">
        <v>45454</v>
      </c>
      <c r="B866" s="2">
        <v>6673</v>
      </c>
      <c r="C866" s="4">
        <f>(WMT_data[[#This Row],[Último]]/B865)-1</f>
        <v>-3.4348864994026007E-3</v>
      </c>
    </row>
    <row r="867" spans="1:3" x14ac:dyDescent="0.25">
      <c r="A867" s="1">
        <v>45455</v>
      </c>
      <c r="B867" s="2">
        <v>6631</v>
      </c>
      <c r="C867" s="4">
        <f>(WMT_data[[#This Row],[Último]]/B866)-1</f>
        <v>-6.2940206803536736E-3</v>
      </c>
    </row>
    <row r="868" spans="1:3" x14ac:dyDescent="0.25">
      <c r="A868" s="1">
        <v>45456</v>
      </c>
      <c r="B868" s="2">
        <v>6670</v>
      </c>
      <c r="C868" s="4">
        <f>(WMT_data[[#This Row],[Último]]/B867)-1</f>
        <v>5.8814658422561283E-3</v>
      </c>
    </row>
    <row r="869" spans="1:3" x14ac:dyDescent="0.25">
      <c r="A869" s="1">
        <v>45457</v>
      </c>
      <c r="B869" s="2">
        <v>6702</v>
      </c>
      <c r="C869" s="4">
        <f>(WMT_data[[#This Row],[Último]]/B868)-1</f>
        <v>4.7976011994002032E-3</v>
      </c>
    </row>
    <row r="870" spans="1:3" x14ac:dyDescent="0.25">
      <c r="A870" s="1">
        <v>45460</v>
      </c>
      <c r="B870" s="2">
        <v>6742</v>
      </c>
      <c r="C870" s="4">
        <f>(WMT_data[[#This Row],[Último]]/B869)-1</f>
        <v>5.9683676514472594E-3</v>
      </c>
    </row>
    <row r="871" spans="1:3" x14ac:dyDescent="0.25">
      <c r="A871" s="1">
        <v>45461</v>
      </c>
      <c r="B871" s="2">
        <v>6760</v>
      </c>
      <c r="C871" s="4">
        <f>(WMT_data[[#This Row],[Último]]/B870)-1</f>
        <v>2.6698309107089369E-3</v>
      </c>
    </row>
    <row r="872" spans="1:3" x14ac:dyDescent="0.25">
      <c r="A872" s="1">
        <v>45463</v>
      </c>
      <c r="B872" s="2">
        <v>6801</v>
      </c>
      <c r="C872" s="4">
        <f>(WMT_data[[#This Row],[Último]]/B871)-1</f>
        <v>6.0650887573965306E-3</v>
      </c>
    </row>
    <row r="873" spans="1:3" x14ac:dyDescent="0.25">
      <c r="A873" s="1">
        <v>45464</v>
      </c>
      <c r="B873" s="2">
        <v>6791</v>
      </c>
      <c r="C873" s="4">
        <f>(WMT_data[[#This Row],[Último]]/B872)-1</f>
        <v>-1.4703720041170376E-3</v>
      </c>
    </row>
    <row r="874" spans="1:3" x14ac:dyDescent="0.25">
      <c r="A874" s="1">
        <v>45467</v>
      </c>
      <c r="B874" s="2">
        <v>6890</v>
      </c>
      <c r="C874" s="4">
        <f>(WMT_data[[#This Row],[Último]]/B873)-1</f>
        <v>1.4578118097481996E-2</v>
      </c>
    </row>
    <row r="875" spans="1:3" x14ac:dyDescent="0.25">
      <c r="A875" s="1">
        <v>45468</v>
      </c>
      <c r="B875" s="2">
        <v>6742</v>
      </c>
      <c r="C875" s="4">
        <f>(WMT_data[[#This Row],[Último]]/B874)-1</f>
        <v>-2.1480406386066742E-2</v>
      </c>
    </row>
    <row r="876" spans="1:3" x14ac:dyDescent="0.25">
      <c r="A876" s="1">
        <v>45469</v>
      </c>
      <c r="B876" s="2">
        <v>6829</v>
      </c>
      <c r="C876" s="4">
        <f>(WMT_data[[#This Row],[Último]]/B875)-1</f>
        <v>1.2904182735093528E-2</v>
      </c>
    </row>
    <row r="877" spans="1:3" x14ac:dyDescent="0.25">
      <c r="A877" s="1">
        <v>45470</v>
      </c>
      <c r="B877" s="2">
        <v>6788</v>
      </c>
      <c r="C877" s="4">
        <f>(WMT_data[[#This Row],[Último]]/B876)-1</f>
        <v>-6.0038072924293306E-3</v>
      </c>
    </row>
    <row r="878" spans="1:3" x14ac:dyDescent="0.25">
      <c r="A878" s="1">
        <v>45471</v>
      </c>
      <c r="B878" s="2">
        <v>6771</v>
      </c>
      <c r="C878" s="4">
        <f>(WMT_data[[#This Row],[Último]]/B877)-1</f>
        <v>-2.504419563936322E-3</v>
      </c>
    </row>
    <row r="879" spans="1:3" x14ac:dyDescent="0.25">
      <c r="A879" s="1">
        <v>45474</v>
      </c>
      <c r="B879" s="2">
        <v>6748</v>
      </c>
      <c r="C879" s="4">
        <f>(WMT_data[[#This Row],[Último]]/B878)-1</f>
        <v>-3.3968394624132037E-3</v>
      </c>
    </row>
    <row r="880" spans="1:3" x14ac:dyDescent="0.25">
      <c r="A880" s="1">
        <v>45475</v>
      </c>
      <c r="B880" s="2">
        <v>6807</v>
      </c>
      <c r="C880" s="4">
        <f>(WMT_data[[#This Row],[Último]]/B879)-1</f>
        <v>8.7433313574392102E-3</v>
      </c>
    </row>
    <row r="881" spans="1:3" x14ac:dyDescent="0.25">
      <c r="A881" s="1">
        <v>45476</v>
      </c>
      <c r="B881" s="2">
        <v>6824</v>
      </c>
      <c r="C881" s="4">
        <f>(WMT_data[[#This Row],[Último]]/B880)-1</f>
        <v>2.4974291170853924E-3</v>
      </c>
    </row>
    <row r="882" spans="1:3" x14ac:dyDescent="0.25">
      <c r="A882" s="1">
        <v>45478</v>
      </c>
      <c r="B882" s="2">
        <v>7004</v>
      </c>
      <c r="C882" s="4">
        <f>(WMT_data[[#This Row],[Último]]/B881)-1</f>
        <v>2.637749120750299E-2</v>
      </c>
    </row>
    <row r="883" spans="1:3" x14ac:dyDescent="0.25">
      <c r="A883" s="1">
        <v>45481</v>
      </c>
      <c r="B883" s="2">
        <v>6968</v>
      </c>
      <c r="C883" s="4">
        <f>(WMT_data[[#This Row],[Último]]/B882)-1</f>
        <v>-5.1399200456881955E-3</v>
      </c>
    </row>
    <row r="884" spans="1:3" x14ac:dyDescent="0.25">
      <c r="A884" s="1">
        <v>45482</v>
      </c>
      <c r="B884" s="2">
        <v>6990</v>
      </c>
      <c r="C884" s="4">
        <f>(WMT_data[[#This Row],[Último]]/B883)-1</f>
        <v>3.1572904707233285E-3</v>
      </c>
    </row>
    <row r="885" spans="1:3" x14ac:dyDescent="0.25">
      <c r="A885" s="1">
        <v>45483</v>
      </c>
      <c r="B885" s="2">
        <v>7041</v>
      </c>
      <c r="C885" s="4">
        <f>(WMT_data[[#This Row],[Último]]/B884)-1</f>
        <v>7.2961373390558748E-3</v>
      </c>
    </row>
    <row r="886" spans="1:3" x14ac:dyDescent="0.25">
      <c r="A886" s="1">
        <v>45484</v>
      </c>
      <c r="B886" s="2">
        <v>6980</v>
      </c>
      <c r="C886" s="4">
        <f>(WMT_data[[#This Row],[Último]]/B885)-1</f>
        <v>-8.6635421104956922E-3</v>
      </c>
    </row>
    <row r="887" spans="1:3" x14ac:dyDescent="0.25">
      <c r="A887" s="1">
        <v>45485</v>
      </c>
      <c r="B887" s="2">
        <v>6924</v>
      </c>
      <c r="C887" s="4">
        <f>(WMT_data[[#This Row],[Último]]/B886)-1</f>
        <v>-8.022922636103158E-3</v>
      </c>
    </row>
    <row r="888" spans="1:3" x14ac:dyDescent="0.25">
      <c r="A888" s="1">
        <v>45488</v>
      </c>
      <c r="B888" s="2">
        <v>6961</v>
      </c>
      <c r="C888" s="4">
        <f>(WMT_data[[#This Row],[Último]]/B887)-1</f>
        <v>5.3437319468514488E-3</v>
      </c>
    </row>
    <row r="889" spans="1:3" x14ac:dyDescent="0.25">
      <c r="A889" s="1">
        <v>45489</v>
      </c>
      <c r="B889" s="2">
        <v>6999</v>
      </c>
      <c r="C889" s="4">
        <f>(WMT_data[[#This Row],[Último]]/B888)-1</f>
        <v>5.4589857779054896E-3</v>
      </c>
    </row>
    <row r="890" spans="1:3" x14ac:dyDescent="0.25">
      <c r="A890" s="1">
        <v>45490</v>
      </c>
      <c r="B890" s="2">
        <v>7103</v>
      </c>
      <c r="C890" s="4">
        <f>(WMT_data[[#This Row],[Último]]/B889)-1</f>
        <v>1.4859265609372674E-2</v>
      </c>
    </row>
    <row r="891" spans="1:3" x14ac:dyDescent="0.25">
      <c r="A891" s="1">
        <v>45491</v>
      </c>
      <c r="B891" s="2">
        <v>7082</v>
      </c>
      <c r="C891" s="4">
        <f>(WMT_data[[#This Row],[Último]]/B890)-1</f>
        <v>-2.9564972546811674E-3</v>
      </c>
    </row>
    <row r="892" spans="1:3" x14ac:dyDescent="0.25">
      <c r="A892" s="1">
        <v>45492</v>
      </c>
      <c r="B892" s="2">
        <v>7075</v>
      </c>
      <c r="C892" s="4">
        <f>(WMT_data[[#This Row],[Último]]/B891)-1</f>
        <v>-9.8842134990118069E-4</v>
      </c>
    </row>
    <row r="893" spans="1:3" x14ac:dyDescent="0.25">
      <c r="A893" s="1">
        <v>45495</v>
      </c>
      <c r="B893" s="2">
        <v>7038</v>
      </c>
      <c r="C893" s="4">
        <f>(WMT_data[[#This Row],[Último]]/B892)-1</f>
        <v>-5.2296819787985838E-3</v>
      </c>
    </row>
    <row r="894" spans="1:3" x14ac:dyDescent="0.25">
      <c r="A894" s="1">
        <v>45496</v>
      </c>
      <c r="B894" s="2">
        <v>7065</v>
      </c>
      <c r="C894" s="4">
        <f>(WMT_data[[#This Row],[Último]]/B893)-1</f>
        <v>3.8363171355497716E-3</v>
      </c>
    </row>
    <row r="895" spans="1:3" x14ac:dyDescent="0.25">
      <c r="A895" s="1">
        <v>45497</v>
      </c>
      <c r="B895" s="2">
        <v>7060</v>
      </c>
      <c r="C895" s="4">
        <f>(WMT_data[[#This Row],[Último]]/B894)-1</f>
        <v>-7.0771408351022469E-4</v>
      </c>
    </row>
    <row r="896" spans="1:3" x14ac:dyDescent="0.25">
      <c r="A896" s="1">
        <v>45498</v>
      </c>
      <c r="B896" s="2">
        <v>7002</v>
      </c>
      <c r="C896" s="4">
        <f>(WMT_data[[#This Row],[Último]]/B895)-1</f>
        <v>-8.2152974504249299E-3</v>
      </c>
    </row>
    <row r="897" spans="1:3" x14ac:dyDescent="0.25">
      <c r="A897" s="1">
        <v>45499</v>
      </c>
      <c r="B897" s="2">
        <v>6978</v>
      </c>
      <c r="C897" s="4">
        <f>(WMT_data[[#This Row],[Último]]/B896)-1</f>
        <v>-3.4275921165380918E-3</v>
      </c>
    </row>
    <row r="898" spans="1:3" x14ac:dyDescent="0.25">
      <c r="A898" s="1">
        <v>45502</v>
      </c>
      <c r="B898" s="2">
        <v>6962</v>
      </c>
      <c r="C898" s="4">
        <f>(WMT_data[[#This Row],[Último]]/B897)-1</f>
        <v>-2.2929206076239828E-3</v>
      </c>
    </row>
    <row r="899" spans="1:3" x14ac:dyDescent="0.25">
      <c r="A899" s="1">
        <v>45503</v>
      </c>
      <c r="B899" s="2">
        <v>6919</v>
      </c>
      <c r="C899" s="4">
        <f>(WMT_data[[#This Row],[Último]]/B898)-1</f>
        <v>-6.1763860959493933E-3</v>
      </c>
    </row>
    <row r="900" spans="1:3" x14ac:dyDescent="0.25">
      <c r="A900" s="1">
        <v>45504</v>
      </c>
      <c r="B900" s="2">
        <v>6864</v>
      </c>
      <c r="C900" s="4">
        <f>(WMT_data[[#This Row],[Último]]/B899)-1</f>
        <v>-7.9491255961844365E-3</v>
      </c>
    </row>
    <row r="901" spans="1:3" x14ac:dyDescent="0.25">
      <c r="A901" s="1">
        <v>45505</v>
      </c>
      <c r="B901" s="2">
        <v>6979</v>
      </c>
      <c r="C901" s="4">
        <f>(WMT_data[[#This Row],[Último]]/B900)-1</f>
        <v>1.6754079254079235E-2</v>
      </c>
    </row>
    <row r="902" spans="1:3" x14ac:dyDescent="0.25">
      <c r="A902" s="1">
        <v>45506</v>
      </c>
      <c r="B902" s="2">
        <v>6846</v>
      </c>
      <c r="C902" s="4">
        <f>(WMT_data[[#This Row],[Último]]/B901)-1</f>
        <v>-1.9057171514543669E-2</v>
      </c>
    </row>
    <row r="903" spans="1:3" x14ac:dyDescent="0.25">
      <c r="A903" s="1">
        <v>45509</v>
      </c>
      <c r="B903" s="2">
        <v>6759</v>
      </c>
      <c r="C903" s="4">
        <f>(WMT_data[[#This Row],[Último]]/B902)-1</f>
        <v>-1.2708150744960567E-2</v>
      </c>
    </row>
    <row r="904" spans="1:3" x14ac:dyDescent="0.25">
      <c r="A904" s="1">
        <v>45510</v>
      </c>
      <c r="B904" s="2">
        <v>6774</v>
      </c>
      <c r="C904" s="4">
        <f>(WMT_data[[#This Row],[Último]]/B903)-1</f>
        <v>2.2192632046160732E-3</v>
      </c>
    </row>
    <row r="905" spans="1:3" x14ac:dyDescent="0.25">
      <c r="A905" s="1">
        <v>45511</v>
      </c>
      <c r="B905" s="2">
        <v>6691</v>
      </c>
      <c r="C905" s="4">
        <f>(WMT_data[[#This Row],[Último]]/B904)-1</f>
        <v>-1.2252731030410358E-2</v>
      </c>
    </row>
    <row r="906" spans="1:3" x14ac:dyDescent="0.25">
      <c r="A906" s="1">
        <v>45512</v>
      </c>
      <c r="B906" s="2">
        <v>6766</v>
      </c>
      <c r="C906" s="4">
        <f>(WMT_data[[#This Row],[Último]]/B905)-1</f>
        <v>1.1209086833059434E-2</v>
      </c>
    </row>
    <row r="907" spans="1:3" x14ac:dyDescent="0.25">
      <c r="A907" s="1">
        <v>45513</v>
      </c>
      <c r="B907" s="2">
        <v>6795</v>
      </c>
      <c r="C907" s="4">
        <f>(WMT_data[[#This Row],[Último]]/B906)-1</f>
        <v>4.2861365651787331E-3</v>
      </c>
    </row>
    <row r="908" spans="1:3" x14ac:dyDescent="0.25">
      <c r="A908" s="1">
        <v>45516</v>
      </c>
      <c r="B908" s="2">
        <v>6870</v>
      </c>
      <c r="C908" s="4">
        <f>(WMT_data[[#This Row],[Último]]/B907)-1</f>
        <v>1.1037527593819041E-2</v>
      </c>
    </row>
    <row r="909" spans="1:3" x14ac:dyDescent="0.25">
      <c r="A909" s="1">
        <v>45517</v>
      </c>
      <c r="B909" s="2">
        <v>6813</v>
      </c>
      <c r="C909" s="4">
        <f>(WMT_data[[#This Row],[Último]]/B908)-1</f>
        <v>-8.2969432314410341E-3</v>
      </c>
    </row>
    <row r="910" spans="1:3" x14ac:dyDescent="0.25">
      <c r="A910" s="1">
        <v>45518</v>
      </c>
      <c r="B910" s="2">
        <v>6866</v>
      </c>
      <c r="C910" s="4">
        <f>(WMT_data[[#This Row],[Último]]/B909)-1</f>
        <v>7.7792455599587917E-3</v>
      </c>
    </row>
    <row r="911" spans="1:3" x14ac:dyDescent="0.25">
      <c r="A911" s="1">
        <v>45519</v>
      </c>
      <c r="B911" s="2">
        <v>7318</v>
      </c>
      <c r="C911" s="4">
        <f>(WMT_data[[#This Row],[Último]]/B910)-1</f>
        <v>6.5831634139236872E-2</v>
      </c>
    </row>
    <row r="912" spans="1:3" x14ac:dyDescent="0.25">
      <c r="A912" s="1">
        <v>45520</v>
      </c>
      <c r="B912" s="2">
        <v>7345</v>
      </c>
      <c r="C912" s="4">
        <f>(WMT_data[[#This Row],[Último]]/B911)-1</f>
        <v>3.6895326591965816E-3</v>
      </c>
    </row>
    <row r="913" spans="1:3" x14ac:dyDescent="0.25">
      <c r="A913" s="1">
        <v>45523</v>
      </c>
      <c r="B913" s="2">
        <v>7372</v>
      </c>
      <c r="C913" s="4">
        <f>(WMT_data[[#This Row],[Último]]/B912)-1</f>
        <v>3.6759700476514112E-3</v>
      </c>
    </row>
    <row r="914" spans="1:3" x14ac:dyDescent="0.25">
      <c r="A914" s="1">
        <v>45524</v>
      </c>
      <c r="B914" s="2">
        <v>7454</v>
      </c>
      <c r="C914" s="4">
        <f>(WMT_data[[#This Row],[Último]]/B913)-1</f>
        <v>1.112316874660868E-2</v>
      </c>
    </row>
    <row r="915" spans="1:3" x14ac:dyDescent="0.25">
      <c r="A915" s="1">
        <v>45525</v>
      </c>
      <c r="B915" s="2">
        <v>7524</v>
      </c>
      <c r="C915" s="4">
        <f>(WMT_data[[#This Row],[Último]]/B914)-1</f>
        <v>9.3909310437350069E-3</v>
      </c>
    </row>
    <row r="916" spans="1:3" x14ac:dyDescent="0.25">
      <c r="A916" s="1">
        <v>45526</v>
      </c>
      <c r="B916" s="2">
        <v>7558</v>
      </c>
      <c r="C916" s="4">
        <f>(WMT_data[[#This Row],[Último]]/B915)-1</f>
        <v>4.5188729399254779E-3</v>
      </c>
    </row>
    <row r="917" spans="1:3" x14ac:dyDescent="0.25">
      <c r="A917" s="1">
        <v>45527</v>
      </c>
      <c r="B917" s="2">
        <v>7570</v>
      </c>
      <c r="C917" s="4">
        <f>(WMT_data[[#This Row],[Último]]/B916)-1</f>
        <v>1.5877216194759569E-3</v>
      </c>
    </row>
    <row r="918" spans="1:3" x14ac:dyDescent="0.25">
      <c r="A918" s="1">
        <v>45530</v>
      </c>
      <c r="B918" s="2">
        <v>7603</v>
      </c>
      <c r="C918" s="4">
        <f>(WMT_data[[#This Row],[Último]]/B917)-1</f>
        <v>4.3593130779391309E-3</v>
      </c>
    </row>
    <row r="919" spans="1:3" x14ac:dyDescent="0.25">
      <c r="A919" s="1">
        <v>45531</v>
      </c>
      <c r="B919" s="2">
        <v>7613</v>
      </c>
      <c r="C919" s="4">
        <f>(WMT_data[[#This Row],[Último]]/B918)-1</f>
        <v>1.3152702880441236E-3</v>
      </c>
    </row>
    <row r="920" spans="1:3" x14ac:dyDescent="0.25">
      <c r="A920" s="1">
        <v>45532</v>
      </c>
      <c r="B920" s="2">
        <v>7608</v>
      </c>
      <c r="C920" s="4">
        <f>(WMT_data[[#This Row],[Último]]/B919)-1</f>
        <v>-6.5677131222907636E-4</v>
      </c>
    </row>
    <row r="921" spans="1:3" x14ac:dyDescent="0.25">
      <c r="A921" s="1">
        <v>45533</v>
      </c>
      <c r="B921" s="2">
        <v>7642</v>
      </c>
      <c r="C921" s="4">
        <f>(WMT_data[[#This Row],[Último]]/B920)-1</f>
        <v>4.4689800210304664E-3</v>
      </c>
    </row>
    <row r="922" spans="1:3" x14ac:dyDescent="0.25">
      <c r="A922" s="1">
        <v>45534</v>
      </c>
      <c r="B922" s="2">
        <v>7723</v>
      </c>
      <c r="C922" s="4">
        <f>(WMT_data[[#This Row],[Último]]/B921)-1</f>
        <v>1.0599319549856157E-2</v>
      </c>
    </row>
    <row r="923" spans="1:3" x14ac:dyDescent="0.25">
      <c r="A923" s="1">
        <v>45538</v>
      </c>
      <c r="B923" s="2">
        <v>7717</v>
      </c>
      <c r="C923" s="4">
        <f>(WMT_data[[#This Row],[Último]]/B922)-1</f>
        <v>-7.7690016832832054E-4</v>
      </c>
    </row>
    <row r="924" spans="1:3" x14ac:dyDescent="0.25">
      <c r="A924" s="1">
        <v>45539</v>
      </c>
      <c r="B924" s="2">
        <v>7724</v>
      </c>
      <c r="C924" s="4">
        <f>(WMT_data[[#This Row],[Último]]/B923)-1</f>
        <v>9.0708824672791621E-4</v>
      </c>
    </row>
    <row r="925" spans="1:3" x14ac:dyDescent="0.25">
      <c r="A925" s="1">
        <v>45540</v>
      </c>
      <c r="B925" s="2">
        <v>7696</v>
      </c>
      <c r="C925" s="4">
        <f>(WMT_data[[#This Row],[Último]]/B924)-1</f>
        <v>-3.6250647332988217E-3</v>
      </c>
    </row>
    <row r="926" spans="1:3" x14ac:dyDescent="0.25">
      <c r="A926" s="1">
        <v>45541</v>
      </c>
      <c r="B926" s="2">
        <v>7664</v>
      </c>
      <c r="C926" s="4">
        <f>(WMT_data[[#This Row],[Último]]/B925)-1</f>
        <v>-4.1580041580041582E-3</v>
      </c>
    </row>
    <row r="927" spans="1:3" x14ac:dyDescent="0.25">
      <c r="A927" s="1">
        <v>45544</v>
      </c>
      <c r="B927" s="2">
        <v>7734</v>
      </c>
      <c r="C927" s="4">
        <f>(WMT_data[[#This Row],[Último]]/B926)-1</f>
        <v>9.1336116910230025E-3</v>
      </c>
    </row>
    <row r="928" spans="1:3" x14ac:dyDescent="0.25">
      <c r="A928" s="1">
        <v>45545</v>
      </c>
      <c r="B928" s="2">
        <v>7881</v>
      </c>
      <c r="C928" s="4">
        <f>(WMT_data[[#This Row],[Último]]/B927)-1</f>
        <v>1.9006982156710706E-2</v>
      </c>
    </row>
    <row r="929" spans="1:3" x14ac:dyDescent="0.25">
      <c r="A929" s="1">
        <v>45546</v>
      </c>
      <c r="B929" s="2">
        <v>7884</v>
      </c>
      <c r="C929" s="4">
        <f>(WMT_data[[#This Row],[Último]]/B928)-1</f>
        <v>3.806623524933439E-4</v>
      </c>
    </row>
    <row r="930" spans="1:3" x14ac:dyDescent="0.25">
      <c r="A930" s="1">
        <v>45547</v>
      </c>
      <c r="B930" s="2">
        <v>7966</v>
      </c>
      <c r="C930" s="4">
        <f>(WMT_data[[#This Row],[Último]]/B929)-1</f>
        <v>1.0400811770674867E-2</v>
      </c>
    </row>
    <row r="931" spans="1:3" x14ac:dyDescent="0.25">
      <c r="A931" s="1">
        <v>45548</v>
      </c>
      <c r="B931" s="2">
        <v>8060</v>
      </c>
      <c r="C931" s="4">
        <f>(WMT_data[[#This Row],[Último]]/B930)-1</f>
        <v>1.1800150640220997E-2</v>
      </c>
    </row>
    <row r="932" spans="1:3" x14ac:dyDescent="0.25">
      <c r="A932" s="1">
        <v>45551</v>
      </c>
      <c r="B932" s="2">
        <v>8056</v>
      </c>
      <c r="C932" s="4">
        <f>(WMT_data[[#This Row],[Último]]/B931)-1</f>
        <v>-4.9627791563278123E-4</v>
      </c>
    </row>
    <row r="933" spans="1:3" x14ac:dyDescent="0.25">
      <c r="A933" s="1">
        <v>45552</v>
      </c>
      <c r="B933" s="2">
        <v>7860</v>
      </c>
      <c r="C933" s="4">
        <f>(WMT_data[[#This Row],[Último]]/B932)-1</f>
        <v>-2.4329692154915539E-2</v>
      </c>
    </row>
    <row r="934" spans="1:3" x14ac:dyDescent="0.25">
      <c r="A934" s="1">
        <v>45553</v>
      </c>
      <c r="B934" s="2">
        <v>7903</v>
      </c>
      <c r="C934" s="4">
        <f>(WMT_data[[#This Row],[Último]]/B933)-1</f>
        <v>5.4707379134859568E-3</v>
      </c>
    </row>
    <row r="935" spans="1:3" x14ac:dyDescent="0.25">
      <c r="A935" s="1">
        <v>45554</v>
      </c>
      <c r="B935" s="2">
        <v>7804</v>
      </c>
      <c r="C935" s="4">
        <f>(WMT_data[[#This Row],[Último]]/B934)-1</f>
        <v>-1.2526888523345603E-2</v>
      </c>
    </row>
    <row r="936" spans="1:3" x14ac:dyDescent="0.25">
      <c r="A936" s="1">
        <v>45555</v>
      </c>
      <c r="B936" s="2">
        <v>7906</v>
      </c>
      <c r="C936" s="4">
        <f>(WMT_data[[#This Row],[Último]]/B935)-1</f>
        <v>1.3070220399794996E-2</v>
      </c>
    </row>
    <row r="937" spans="1:3" x14ac:dyDescent="0.25">
      <c r="A937" s="1">
        <v>45558</v>
      </c>
      <c r="B937" s="2">
        <v>8033</v>
      </c>
      <c r="C937" s="4">
        <f>(WMT_data[[#This Row],[Último]]/B936)-1</f>
        <v>1.6063749051353327E-2</v>
      </c>
    </row>
    <row r="938" spans="1:3" x14ac:dyDescent="0.25">
      <c r="A938" s="1">
        <v>45559</v>
      </c>
      <c r="B938" s="2">
        <v>8067</v>
      </c>
      <c r="C938" s="4">
        <f>(WMT_data[[#This Row],[Último]]/B937)-1</f>
        <v>4.2325407693264427E-3</v>
      </c>
    </row>
    <row r="939" spans="1:3" x14ac:dyDescent="0.25">
      <c r="A939" s="1">
        <v>45560</v>
      </c>
      <c r="B939" s="2">
        <v>8140</v>
      </c>
      <c r="C939" s="4">
        <f>(WMT_data[[#This Row],[Último]]/B938)-1</f>
        <v>9.0492128424444207E-3</v>
      </c>
    </row>
    <row r="940" spans="1:3" x14ac:dyDescent="0.25">
      <c r="A940" s="1">
        <v>45561</v>
      </c>
      <c r="B940" s="2">
        <v>7992</v>
      </c>
      <c r="C940" s="4">
        <f>(WMT_data[[#This Row],[Último]]/B939)-1</f>
        <v>-1.8181818181818188E-2</v>
      </c>
    </row>
    <row r="941" spans="1:3" x14ac:dyDescent="0.25">
      <c r="A941" s="1">
        <v>45562</v>
      </c>
      <c r="B941" s="2">
        <v>7978</v>
      </c>
      <c r="C941" s="4">
        <f>(WMT_data[[#This Row],[Último]]/B940)-1</f>
        <v>-1.7517517517517955E-3</v>
      </c>
    </row>
    <row r="942" spans="1:3" x14ac:dyDescent="0.25">
      <c r="A942" s="1">
        <v>45565</v>
      </c>
      <c r="B942" s="2">
        <v>8075</v>
      </c>
      <c r="C942" s="4">
        <f>(WMT_data[[#This Row],[Último]]/B941)-1</f>
        <v>1.2158435698169878E-2</v>
      </c>
    </row>
    <row r="943" spans="1:3" x14ac:dyDescent="0.25">
      <c r="A943" s="1">
        <v>45566</v>
      </c>
      <c r="B943" s="2">
        <v>8127</v>
      </c>
      <c r="C943" s="4">
        <f>(WMT_data[[#This Row],[Último]]/B942)-1</f>
        <v>6.4396284829721928E-3</v>
      </c>
    </row>
    <row r="944" spans="1:3" x14ac:dyDescent="0.25">
      <c r="A944" s="1">
        <v>45567</v>
      </c>
      <c r="B944" s="2">
        <v>8043</v>
      </c>
      <c r="C944" s="4">
        <f>(WMT_data[[#This Row],[Último]]/B943)-1</f>
        <v>-1.033591731266148E-2</v>
      </c>
    </row>
    <row r="945" spans="1:3" x14ac:dyDescent="0.25">
      <c r="A945" s="1">
        <v>45568</v>
      </c>
      <c r="B945" s="2">
        <v>8043</v>
      </c>
      <c r="C945" s="4">
        <f>(WMT_data[[#This Row],[Último]]/B944)-1</f>
        <v>0</v>
      </c>
    </row>
    <row r="946" spans="1:3" x14ac:dyDescent="0.25">
      <c r="A946" s="1">
        <v>45569</v>
      </c>
      <c r="B946" s="2">
        <v>8094</v>
      </c>
      <c r="C946" s="4">
        <f>(WMT_data[[#This Row],[Último]]/B945)-1</f>
        <v>6.3409175680715357E-3</v>
      </c>
    </row>
    <row r="947" spans="1:3" x14ac:dyDescent="0.25">
      <c r="A947" s="1">
        <v>45572</v>
      </c>
      <c r="B947" s="2">
        <v>7910</v>
      </c>
      <c r="C947" s="4">
        <f>(WMT_data[[#This Row],[Último]]/B946)-1</f>
        <v>-2.2732888559426789E-2</v>
      </c>
    </row>
    <row r="948" spans="1:3" x14ac:dyDescent="0.25">
      <c r="A948" s="1">
        <v>45573</v>
      </c>
      <c r="B948" s="2">
        <v>7971</v>
      </c>
      <c r="C948" s="4">
        <f>(WMT_data[[#This Row],[Último]]/B947)-1</f>
        <v>7.7117572692793068E-3</v>
      </c>
    </row>
    <row r="949" spans="1:3" x14ac:dyDescent="0.25">
      <c r="A949" s="1">
        <v>45574</v>
      </c>
      <c r="B949" s="2">
        <v>8040</v>
      </c>
      <c r="C949" s="4">
        <f>(WMT_data[[#This Row],[Último]]/B948)-1</f>
        <v>8.6563793752352236E-3</v>
      </c>
    </row>
    <row r="950" spans="1:3" x14ac:dyDescent="0.25">
      <c r="A950" s="1">
        <v>45575</v>
      </c>
      <c r="B950" s="2">
        <v>7961</v>
      </c>
      <c r="C950" s="4">
        <f>(WMT_data[[#This Row],[Último]]/B949)-1</f>
        <v>-9.8258706467662105E-3</v>
      </c>
    </row>
    <row r="951" spans="1:3" x14ac:dyDescent="0.25">
      <c r="A951" s="1">
        <v>45576</v>
      </c>
      <c r="B951" s="2">
        <v>8010</v>
      </c>
      <c r="C951" s="4">
        <f>(WMT_data[[#This Row],[Último]]/B950)-1</f>
        <v>6.1550056525561114E-3</v>
      </c>
    </row>
    <row r="952" spans="1:3" x14ac:dyDescent="0.25">
      <c r="A952" s="1">
        <v>45579</v>
      </c>
      <c r="B952" s="2">
        <v>8029</v>
      </c>
      <c r="C952" s="4">
        <f>(WMT_data[[#This Row],[Último]]/B951)-1</f>
        <v>2.3720349563045584E-3</v>
      </c>
    </row>
    <row r="953" spans="1:3" x14ac:dyDescent="0.25">
      <c r="A953" s="1">
        <v>45580</v>
      </c>
      <c r="B953" s="2">
        <v>8165</v>
      </c>
      <c r="C953" s="4">
        <f>(WMT_data[[#This Row],[Último]]/B952)-1</f>
        <v>1.6938597583758819E-2</v>
      </c>
    </row>
    <row r="954" spans="1:3" x14ac:dyDescent="0.25">
      <c r="A954" s="1">
        <v>45581</v>
      </c>
      <c r="B954" s="2">
        <v>8122</v>
      </c>
      <c r="C954" s="4">
        <f>(WMT_data[[#This Row],[Último]]/B953)-1</f>
        <v>-5.2663808940600632E-3</v>
      </c>
    </row>
    <row r="955" spans="1:3" x14ac:dyDescent="0.25">
      <c r="A955" s="1">
        <v>45582</v>
      </c>
      <c r="B955" s="2">
        <v>8089</v>
      </c>
      <c r="C955" s="4">
        <f>(WMT_data[[#This Row],[Último]]/B954)-1</f>
        <v>-4.063038660428453E-3</v>
      </c>
    </row>
    <row r="956" spans="1:3" x14ac:dyDescent="0.25">
      <c r="A956" s="1">
        <v>45583</v>
      </c>
      <c r="B956" s="2">
        <v>8131</v>
      </c>
      <c r="C956" s="4">
        <f>(WMT_data[[#This Row],[Último]]/B955)-1</f>
        <v>5.1922363703795771E-3</v>
      </c>
    </row>
    <row r="957" spans="1:3" x14ac:dyDescent="0.25">
      <c r="A957" s="1">
        <v>45586</v>
      </c>
      <c r="B957" s="2">
        <v>8081</v>
      </c>
      <c r="C957" s="4">
        <f>(WMT_data[[#This Row],[Último]]/B956)-1</f>
        <v>-6.1493051285205214E-3</v>
      </c>
    </row>
    <row r="958" spans="1:3" x14ac:dyDescent="0.25">
      <c r="A958" s="1">
        <v>45587</v>
      </c>
      <c r="B958" s="2">
        <v>8202</v>
      </c>
      <c r="C958" s="4">
        <f>(WMT_data[[#This Row],[Último]]/B957)-1</f>
        <v>1.4973394381883498E-2</v>
      </c>
    </row>
    <row r="959" spans="1:3" x14ac:dyDescent="0.25">
      <c r="A959" s="1">
        <v>45588</v>
      </c>
      <c r="B959" s="2">
        <v>8327</v>
      </c>
      <c r="C959" s="4">
        <f>(WMT_data[[#This Row],[Último]]/B958)-1</f>
        <v>1.524018532065341E-2</v>
      </c>
    </row>
    <row r="960" spans="1:3" x14ac:dyDescent="0.25">
      <c r="A960" s="1">
        <v>45589</v>
      </c>
      <c r="B960" s="2">
        <v>8304</v>
      </c>
      <c r="C960" s="4">
        <f>(WMT_data[[#This Row],[Último]]/B959)-1</f>
        <v>-2.762099195388501E-3</v>
      </c>
    </row>
    <row r="961" spans="1:3" x14ac:dyDescent="0.25">
      <c r="A961" s="1">
        <v>45590</v>
      </c>
      <c r="B961" s="2">
        <v>8251</v>
      </c>
      <c r="C961" s="4">
        <f>(WMT_data[[#This Row],[Último]]/B960)-1</f>
        <v>-6.3824662813102284E-3</v>
      </c>
    </row>
    <row r="962" spans="1:3" x14ac:dyDescent="0.25">
      <c r="A962" s="1">
        <v>45593</v>
      </c>
      <c r="B962" s="2">
        <v>8275</v>
      </c>
      <c r="C962" s="4">
        <f>(WMT_data[[#This Row],[Último]]/B961)-1</f>
        <v>2.9087383347472517E-3</v>
      </c>
    </row>
    <row r="963" spans="1:3" x14ac:dyDescent="0.25">
      <c r="A963" s="1">
        <v>45594</v>
      </c>
      <c r="B963" s="2">
        <v>8170</v>
      </c>
      <c r="C963" s="4">
        <f>(WMT_data[[#This Row],[Último]]/B962)-1</f>
        <v>-1.2688821752265822E-2</v>
      </c>
    </row>
    <row r="964" spans="1:3" x14ac:dyDescent="0.25">
      <c r="A964" s="1">
        <v>45595</v>
      </c>
      <c r="B964" s="2">
        <v>8139</v>
      </c>
      <c r="C964" s="4">
        <f>(WMT_data[[#This Row],[Último]]/B963)-1</f>
        <v>-3.7943696450428721E-3</v>
      </c>
    </row>
    <row r="965" spans="1:3" x14ac:dyDescent="0.25">
      <c r="A965" s="1">
        <v>45596</v>
      </c>
      <c r="B965" s="2">
        <v>8195</v>
      </c>
      <c r="C965" s="4">
        <f>(WMT_data[[#This Row],[Último]]/B964)-1</f>
        <v>6.8804521439980171E-3</v>
      </c>
    </row>
    <row r="966" spans="1:3" x14ac:dyDescent="0.25">
      <c r="A966" s="1">
        <v>45597</v>
      </c>
      <c r="B966" s="2">
        <v>8219</v>
      </c>
      <c r="C966" s="4">
        <f>(WMT_data[[#This Row],[Último]]/B965)-1</f>
        <v>2.9286150091518692E-3</v>
      </c>
    </row>
    <row r="967" spans="1:3" x14ac:dyDescent="0.25">
      <c r="A967" s="1">
        <v>45600</v>
      </c>
      <c r="B967" s="2">
        <v>8245</v>
      </c>
      <c r="C967" s="4">
        <f>(WMT_data[[#This Row],[Último]]/B966)-1</f>
        <v>3.1634018737072278E-3</v>
      </c>
    </row>
    <row r="968" spans="1:3" x14ac:dyDescent="0.25">
      <c r="A968" s="1">
        <v>45601</v>
      </c>
      <c r="B968" s="2">
        <v>8368</v>
      </c>
      <c r="C968" s="4">
        <f>(WMT_data[[#This Row],[Último]]/B967)-1</f>
        <v>1.4918132201334089E-2</v>
      </c>
    </row>
    <row r="969" spans="1:3" x14ac:dyDescent="0.25">
      <c r="A969" s="1">
        <v>45602</v>
      </c>
      <c r="B969" s="2">
        <v>8344</v>
      </c>
      <c r="C969" s="4">
        <f>(WMT_data[[#This Row],[Último]]/B968)-1</f>
        <v>-2.8680688336519822E-3</v>
      </c>
    </row>
    <row r="970" spans="1:3" x14ac:dyDescent="0.25">
      <c r="A970" s="1">
        <v>45603</v>
      </c>
      <c r="B970" s="2">
        <v>8385</v>
      </c>
      <c r="C970" s="4">
        <f>(WMT_data[[#This Row],[Último]]/B969)-1</f>
        <v>4.9137104506231655E-3</v>
      </c>
    </row>
    <row r="971" spans="1:3" x14ac:dyDescent="0.25">
      <c r="A971" s="1">
        <v>45604</v>
      </c>
      <c r="B971" s="2">
        <v>8483</v>
      </c>
      <c r="C971" s="4">
        <f>(WMT_data[[#This Row],[Último]]/B970)-1</f>
        <v>1.168753726893268E-2</v>
      </c>
    </row>
    <row r="972" spans="1:3" x14ac:dyDescent="0.25">
      <c r="A972" s="1">
        <v>45607</v>
      </c>
      <c r="B972" s="2">
        <v>8421</v>
      </c>
      <c r="C972" s="4">
        <f>(WMT_data[[#This Row],[Último]]/B971)-1</f>
        <v>-7.3087351172934634E-3</v>
      </c>
    </row>
    <row r="973" spans="1:3" x14ac:dyDescent="0.25">
      <c r="A973" s="1">
        <v>45608</v>
      </c>
      <c r="B973" s="2">
        <v>8499</v>
      </c>
      <c r="C973" s="4">
        <f>(WMT_data[[#This Row],[Último]]/B972)-1</f>
        <v>9.2625578909868445E-3</v>
      </c>
    </row>
    <row r="974" spans="1:3" x14ac:dyDescent="0.25">
      <c r="A974" s="1">
        <v>45609</v>
      </c>
      <c r="B974" s="2">
        <v>8550</v>
      </c>
      <c r="C974" s="4">
        <f>(WMT_data[[#This Row],[Último]]/B973)-1</f>
        <v>6.0007059654076933E-3</v>
      </c>
    </row>
    <row r="975" spans="1:3" x14ac:dyDescent="0.25">
      <c r="A975" s="1">
        <v>45610</v>
      </c>
      <c r="B975" s="2">
        <v>8447</v>
      </c>
      <c r="C975" s="4">
        <f>(WMT_data[[#This Row],[Último]]/B974)-1</f>
        <v>-1.2046783625730972E-2</v>
      </c>
    </row>
    <row r="976" spans="1:3" x14ac:dyDescent="0.25">
      <c r="A976" s="1">
        <v>45611</v>
      </c>
      <c r="B976" s="2">
        <v>8425</v>
      </c>
      <c r="C976" s="4">
        <f>(WMT_data[[#This Row],[Último]]/B975)-1</f>
        <v>-2.6044749615248275E-3</v>
      </c>
    </row>
    <row r="977" spans="1:3" x14ac:dyDescent="0.25">
      <c r="A977" s="1">
        <v>45614</v>
      </c>
      <c r="B977" s="2">
        <v>8408</v>
      </c>
      <c r="C977" s="4">
        <f>(WMT_data[[#This Row],[Último]]/B976)-1</f>
        <v>-2.0178041543026382E-3</v>
      </c>
    </row>
    <row r="978" spans="1:3" x14ac:dyDescent="0.25">
      <c r="A978" s="1">
        <v>45615</v>
      </c>
      <c r="B978" s="2">
        <v>8660</v>
      </c>
      <c r="C978" s="4">
        <f>(WMT_data[[#This Row],[Último]]/B977)-1</f>
        <v>2.9971455756422349E-2</v>
      </c>
    </row>
    <row r="979" spans="1:3" x14ac:dyDescent="0.25">
      <c r="A979" s="1">
        <v>45616</v>
      </c>
      <c r="B979" s="2">
        <v>8718</v>
      </c>
      <c r="C979" s="4">
        <f>(WMT_data[[#This Row],[Último]]/B978)-1</f>
        <v>6.6974595842956841E-3</v>
      </c>
    </row>
    <row r="980" spans="1:3" x14ac:dyDescent="0.25">
      <c r="A980" s="1">
        <v>45617</v>
      </c>
      <c r="B980" s="2">
        <v>8839</v>
      </c>
      <c r="C980" s="4">
        <f>(WMT_data[[#This Row],[Último]]/B979)-1</f>
        <v>1.3879330121587596E-2</v>
      </c>
    </row>
    <row r="981" spans="1:3" x14ac:dyDescent="0.25">
      <c r="A981" s="1">
        <v>45618</v>
      </c>
      <c r="B981" s="2">
        <v>9044</v>
      </c>
      <c r="C981" s="4">
        <f>(WMT_data[[#This Row],[Último]]/B980)-1</f>
        <v>2.3192668853942777E-2</v>
      </c>
    </row>
    <row r="982" spans="1:3" x14ac:dyDescent="0.25">
      <c r="A982" s="1">
        <v>45621</v>
      </c>
      <c r="B982" s="2">
        <v>8950</v>
      </c>
      <c r="C982" s="4">
        <f>(WMT_data[[#This Row],[Último]]/B981)-1</f>
        <v>-1.0393631136665138E-2</v>
      </c>
    </row>
    <row r="983" spans="1:3" x14ac:dyDescent="0.25">
      <c r="A983" s="1">
        <v>45622</v>
      </c>
      <c r="B983" s="2">
        <v>9131</v>
      </c>
      <c r="C983" s="4">
        <f>(WMT_data[[#This Row],[Último]]/B982)-1</f>
        <v>2.0223463687150778E-2</v>
      </c>
    </row>
    <row r="984" spans="1:3" x14ac:dyDescent="0.25">
      <c r="A984" s="1">
        <v>45623</v>
      </c>
      <c r="B984" s="2">
        <v>9188</v>
      </c>
      <c r="C984" s="4">
        <f>(WMT_data[[#This Row],[Último]]/B983)-1</f>
        <v>6.2424707041945915E-3</v>
      </c>
    </row>
    <row r="985" spans="1:3" x14ac:dyDescent="0.25">
      <c r="A985" s="1">
        <v>45625</v>
      </c>
      <c r="B985" s="2">
        <v>9250</v>
      </c>
      <c r="C985" s="4">
        <f>(WMT_data[[#This Row],[Último]]/B984)-1</f>
        <v>6.7479320853287561E-3</v>
      </c>
    </row>
    <row r="986" spans="1:3" x14ac:dyDescent="0.25">
      <c r="A986" s="1">
        <v>45628</v>
      </c>
      <c r="B986" s="2">
        <v>9264</v>
      </c>
      <c r="C986" s="4">
        <f>(WMT_data[[#This Row],[Último]]/B985)-1</f>
        <v>1.5135135135135869E-3</v>
      </c>
    </row>
    <row r="987" spans="1:3" x14ac:dyDescent="0.25">
      <c r="A987" s="1">
        <v>45629</v>
      </c>
      <c r="B987" s="2">
        <v>9351</v>
      </c>
      <c r="C987" s="4">
        <f>(WMT_data[[#This Row],[Último]]/B986)-1</f>
        <v>9.3911917098445929E-3</v>
      </c>
    </row>
    <row r="988" spans="1:3" x14ac:dyDescent="0.25">
      <c r="A988" s="1">
        <v>45630</v>
      </c>
      <c r="B988" s="2">
        <v>9445</v>
      </c>
      <c r="C988" s="4">
        <f>(WMT_data[[#This Row],[Último]]/B987)-1</f>
        <v>1.0052400812747386E-2</v>
      </c>
    </row>
    <row r="989" spans="1:3" x14ac:dyDescent="0.25">
      <c r="A989" s="1">
        <v>45631</v>
      </c>
      <c r="B989" s="2">
        <v>9530</v>
      </c>
      <c r="C989" s="4">
        <f>(WMT_data[[#This Row],[Último]]/B988)-1</f>
        <v>8.9994706193752272E-3</v>
      </c>
    </row>
    <row r="990" spans="1:3" x14ac:dyDescent="0.25">
      <c r="A990" s="1">
        <v>45632</v>
      </c>
      <c r="B990" s="2">
        <v>9570</v>
      </c>
      <c r="C990" s="4">
        <f>(WMT_data[[#This Row],[Último]]/B989)-1</f>
        <v>4.1972717733473885E-3</v>
      </c>
    </row>
    <row r="991" spans="1:3" x14ac:dyDescent="0.25">
      <c r="A991" s="1">
        <v>45635</v>
      </c>
      <c r="B991" s="2">
        <v>9383</v>
      </c>
      <c r="C991" s="4">
        <f>(WMT_data[[#This Row],[Último]]/B990)-1</f>
        <v>-1.9540229885057436E-2</v>
      </c>
    </row>
    <row r="992" spans="1:3" x14ac:dyDescent="0.25">
      <c r="A992" s="1">
        <v>45636</v>
      </c>
      <c r="B992" s="2">
        <v>9455</v>
      </c>
      <c r="C992" s="4">
        <f>(WMT_data[[#This Row],[Último]]/B991)-1</f>
        <v>7.6734519876371365E-3</v>
      </c>
    </row>
    <row r="993" spans="1:3" x14ac:dyDescent="0.25">
      <c r="A993" s="1">
        <v>45637</v>
      </c>
      <c r="B993" s="2">
        <v>9496</v>
      </c>
      <c r="C993" s="4">
        <f>(WMT_data[[#This Row],[Último]]/B992)-1</f>
        <v>4.3363299841354674E-3</v>
      </c>
    </row>
    <row r="994" spans="1:3" x14ac:dyDescent="0.25">
      <c r="A994" s="1">
        <v>45638</v>
      </c>
      <c r="B994" s="2">
        <v>9409</v>
      </c>
      <c r="C994" s="4">
        <f>(WMT_data[[#This Row],[Último]]/B993)-1</f>
        <v>-9.1617523167649706E-3</v>
      </c>
    </row>
    <row r="995" spans="1:3" x14ac:dyDescent="0.25">
      <c r="A995" s="1">
        <v>45639</v>
      </c>
      <c r="B995" s="2">
        <v>9425</v>
      </c>
      <c r="C995" s="4">
        <f>(WMT_data[[#This Row],[Último]]/B994)-1</f>
        <v>1.7004995217344554E-3</v>
      </c>
    </row>
    <row r="996" spans="1:3" x14ac:dyDescent="0.25">
      <c r="A996" s="1">
        <v>45642</v>
      </c>
      <c r="B996" s="2">
        <v>9487</v>
      </c>
      <c r="C996" s="4">
        <f>(WMT_data[[#This Row],[Último]]/B995)-1</f>
        <v>6.5782493368700123E-3</v>
      </c>
    </row>
    <row r="997" spans="1:3" x14ac:dyDescent="0.25">
      <c r="A997" s="1">
        <v>45643</v>
      </c>
      <c r="B997" s="2">
        <v>9542</v>
      </c>
      <c r="C997" s="4">
        <f>(WMT_data[[#This Row],[Último]]/B996)-1</f>
        <v>5.7974069779698212E-3</v>
      </c>
    </row>
    <row r="998" spans="1:3" x14ac:dyDescent="0.25">
      <c r="A998" s="1">
        <v>45644</v>
      </c>
      <c r="B998" s="2">
        <v>9355</v>
      </c>
      <c r="C998" s="4">
        <f>(WMT_data[[#This Row],[Último]]/B997)-1</f>
        <v>-1.9597568643890173E-2</v>
      </c>
    </row>
    <row r="999" spans="1:3" x14ac:dyDescent="0.25">
      <c r="A999" s="1">
        <v>45645</v>
      </c>
      <c r="B999" s="2">
        <v>9340</v>
      </c>
      <c r="C999" s="4">
        <f>(WMT_data[[#This Row],[Último]]/B998)-1</f>
        <v>-1.6034206306787535E-3</v>
      </c>
    </row>
    <row r="1000" spans="1:3" x14ac:dyDescent="0.25">
      <c r="A1000" s="1">
        <v>45646</v>
      </c>
      <c r="B1000" s="2">
        <v>9224</v>
      </c>
      <c r="C1000" s="4">
        <f>(WMT_data[[#This Row],[Último]]/B999)-1</f>
        <v>-1.2419700214132745E-2</v>
      </c>
    </row>
    <row r="1001" spans="1:3" x14ac:dyDescent="0.25">
      <c r="A1001" s="1">
        <v>45649</v>
      </c>
      <c r="B1001" s="2">
        <v>9035</v>
      </c>
      <c r="C1001" s="4">
        <f>(WMT_data[[#This Row],[Último]]/B1000)-1</f>
        <v>-2.0490026019080676E-2</v>
      </c>
    </row>
    <row r="1002" spans="1:3" x14ac:dyDescent="0.25">
      <c r="A1002" s="1">
        <v>45650</v>
      </c>
      <c r="B1002" s="2">
        <v>9268</v>
      </c>
      <c r="C1002" s="4">
        <f>(WMT_data[[#This Row],[Último]]/B1001)-1</f>
        <v>2.5788599889319253E-2</v>
      </c>
    </row>
    <row r="1003" spans="1:3" x14ac:dyDescent="0.25">
      <c r="A1003" s="1">
        <v>45652</v>
      </c>
      <c r="B1003" s="2">
        <v>9279</v>
      </c>
      <c r="C1003" s="4">
        <f>(WMT_data[[#This Row],[Último]]/B1002)-1</f>
        <v>1.1868795856710967E-3</v>
      </c>
    </row>
    <row r="1004" spans="1:3" x14ac:dyDescent="0.25">
      <c r="A1004" s="1">
        <v>45653</v>
      </c>
      <c r="B1004" s="2">
        <v>9166</v>
      </c>
      <c r="C1004" s="4">
        <f>(WMT_data[[#This Row],[Último]]/B1003)-1</f>
        <v>-1.2178036426339078E-2</v>
      </c>
    </row>
    <row r="1005" spans="1:3" x14ac:dyDescent="0.25">
      <c r="A1005" s="1">
        <v>45656</v>
      </c>
      <c r="B1005" s="2">
        <v>9057</v>
      </c>
      <c r="C1005" s="4">
        <f>(WMT_data[[#This Row],[Último]]/B1004)-1</f>
        <v>-1.1891773947196205E-2</v>
      </c>
    </row>
    <row r="1006" spans="1:3" x14ac:dyDescent="0.25">
      <c r="A1006" s="1">
        <v>45657</v>
      </c>
      <c r="B1006" s="2">
        <v>9035</v>
      </c>
      <c r="C1006" s="4">
        <f>(WMT_data[[#This Row],[Último]]/B1005)-1</f>
        <v>-2.4290603952743517E-3</v>
      </c>
    </row>
    <row r="1007" spans="1:3" x14ac:dyDescent="0.25">
      <c r="A1007" s="1">
        <v>45659</v>
      </c>
      <c r="B1007" s="2">
        <v>9000</v>
      </c>
      <c r="C1007" s="4">
        <f>(WMT_data[[#This Row],[Último]]/B1006)-1</f>
        <v>-3.8738240177088601E-3</v>
      </c>
    </row>
    <row r="1008" spans="1:3" x14ac:dyDescent="0.25">
      <c r="A1008" s="1">
        <v>45660</v>
      </c>
      <c r="B1008" s="2">
        <v>9078</v>
      </c>
      <c r="C1008" s="4">
        <f>(WMT_data[[#This Row],[Último]]/B1007)-1</f>
        <v>8.6666666666666003E-3</v>
      </c>
    </row>
    <row r="1009" spans="1:3" x14ac:dyDescent="0.25">
      <c r="A1009" s="1">
        <v>45663</v>
      </c>
      <c r="B1009" s="2">
        <v>9143</v>
      </c>
      <c r="C1009" s="4">
        <f>(WMT_data[[#This Row],[Último]]/B1008)-1</f>
        <v>7.1601674377617108E-3</v>
      </c>
    </row>
    <row r="1010" spans="1:3" x14ac:dyDescent="0.25">
      <c r="A1010" s="1">
        <v>45664</v>
      </c>
      <c r="B1010" s="2">
        <v>9081</v>
      </c>
      <c r="C1010" s="4">
        <f>(WMT_data[[#This Row],[Último]]/B1009)-1</f>
        <v>-6.7811440446242655E-3</v>
      </c>
    </row>
    <row r="1011" spans="1:3" x14ac:dyDescent="0.25">
      <c r="A1011" s="1">
        <v>45665</v>
      </c>
      <c r="B1011" s="2">
        <v>9180</v>
      </c>
      <c r="C1011" s="4">
        <f>(WMT_data[[#This Row],[Último]]/B1010)-1</f>
        <v>1.090188305252715E-2</v>
      </c>
    </row>
    <row r="1012" spans="1:3" x14ac:dyDescent="0.25">
      <c r="A1012" s="1">
        <v>45667</v>
      </c>
      <c r="B1012" s="2">
        <v>9300</v>
      </c>
      <c r="C1012" s="4">
        <f>(WMT_data[[#This Row],[Último]]/B1011)-1</f>
        <v>1.3071895424836555E-2</v>
      </c>
    </row>
    <row r="1013" spans="1:3" x14ac:dyDescent="0.25">
      <c r="A1013" s="1">
        <v>45670</v>
      </c>
      <c r="B1013" s="2">
        <v>9153</v>
      </c>
      <c r="C1013" s="4">
        <f>(WMT_data[[#This Row],[Último]]/B1012)-1</f>
        <v>-1.5806451612903172E-2</v>
      </c>
    </row>
    <row r="1014" spans="1:3" x14ac:dyDescent="0.25">
      <c r="A1014" s="1">
        <v>45671</v>
      </c>
      <c r="B1014" s="2">
        <v>9079</v>
      </c>
      <c r="C1014" s="4">
        <f>(WMT_data[[#This Row],[Último]]/B1013)-1</f>
        <v>-8.0847809461378484E-3</v>
      </c>
    </row>
    <row r="1015" spans="1:3" x14ac:dyDescent="0.25">
      <c r="A1015" s="1">
        <v>45672</v>
      </c>
      <c r="B1015" s="2">
        <v>9134</v>
      </c>
      <c r="C1015" s="4">
        <f>(WMT_data[[#This Row],[Último]]/B1014)-1</f>
        <v>6.0579358960237695E-3</v>
      </c>
    </row>
    <row r="1016" spans="1:3" x14ac:dyDescent="0.25">
      <c r="A1016" s="1">
        <v>45673</v>
      </c>
      <c r="B1016" s="2">
        <v>9130</v>
      </c>
      <c r="C1016" s="4">
        <f>(WMT_data[[#This Row],[Último]]/B1015)-1</f>
        <v>-4.3792423910660183E-4</v>
      </c>
    </row>
    <row r="1017" spans="1:3" x14ac:dyDescent="0.25">
      <c r="A1017" s="1">
        <v>45674</v>
      </c>
      <c r="B1017" s="2">
        <v>9194</v>
      </c>
      <c r="C1017" s="4">
        <f>(WMT_data[[#This Row],[Último]]/B1016)-1</f>
        <v>7.0098576122672451E-3</v>
      </c>
    </row>
    <row r="1018" spans="1:3" x14ac:dyDescent="0.25">
      <c r="A1018" s="1">
        <v>45678</v>
      </c>
      <c r="B1018" s="2">
        <v>9308</v>
      </c>
      <c r="C1018" s="4">
        <f>(WMT_data[[#This Row],[Último]]/B1017)-1</f>
        <v>1.2399390907113395E-2</v>
      </c>
    </row>
    <row r="1019" spans="1:3" x14ac:dyDescent="0.25">
      <c r="A1019" s="1">
        <v>45679</v>
      </c>
      <c r="B1019" s="2">
        <v>9323</v>
      </c>
      <c r="C1019" s="4">
        <f>(WMT_data[[#This Row],[Último]]/B1018)-1</f>
        <v>1.611516974645566E-3</v>
      </c>
    </row>
    <row r="1020" spans="1:3" x14ac:dyDescent="0.25">
      <c r="A1020" s="1">
        <v>45680</v>
      </c>
      <c r="B1020" s="2">
        <v>9381</v>
      </c>
      <c r="C1020" s="4">
        <f>(WMT_data[[#This Row],[Último]]/B1019)-1</f>
        <v>6.2211734420249964E-3</v>
      </c>
    </row>
    <row r="1021" spans="1:3" x14ac:dyDescent="0.25">
      <c r="A1021" s="1">
        <v>45681</v>
      </c>
      <c r="B1021" s="2">
        <v>9476</v>
      </c>
      <c r="C1021" s="4">
        <f>(WMT_data[[#This Row],[Último]]/B1020)-1</f>
        <v>1.012685214795872E-2</v>
      </c>
    </row>
    <row r="1022" spans="1:3" x14ac:dyDescent="0.25">
      <c r="A1022" s="1">
        <v>45684</v>
      </c>
      <c r="B1022" s="2">
        <v>9740</v>
      </c>
      <c r="C1022" s="4">
        <f>(WMT_data[[#This Row],[Último]]/B1021)-1</f>
        <v>2.7859856479527156E-2</v>
      </c>
    </row>
    <row r="1023" spans="1:3" x14ac:dyDescent="0.25">
      <c r="A1023" s="1">
        <v>45685</v>
      </c>
      <c r="B1023" s="2">
        <v>9729</v>
      </c>
      <c r="C1023" s="4">
        <f>(WMT_data[[#This Row],[Último]]/B1022)-1</f>
        <v>-1.1293634496919447E-3</v>
      </c>
    </row>
    <row r="1024" spans="1:3" x14ac:dyDescent="0.25">
      <c r="A1024" s="1">
        <v>45686</v>
      </c>
      <c r="B1024" s="2">
        <v>9750</v>
      </c>
      <c r="C1024" s="4">
        <f>(WMT_data[[#This Row],[Último]]/B1023)-1</f>
        <v>2.1584952204749541E-3</v>
      </c>
    </row>
    <row r="1025" spans="1:3" x14ac:dyDescent="0.25">
      <c r="A1025" s="1">
        <v>45687</v>
      </c>
      <c r="B1025" s="2">
        <v>9865</v>
      </c>
      <c r="C1025" s="4">
        <f>(WMT_data[[#This Row],[Último]]/B1024)-1</f>
        <v>1.1794871794871709E-2</v>
      </c>
    </row>
    <row r="1026" spans="1:3" x14ac:dyDescent="0.25">
      <c r="A1026" s="1">
        <v>45688</v>
      </c>
      <c r="B1026" s="2">
        <v>9816</v>
      </c>
      <c r="C1026" s="4">
        <f>(WMT_data[[#This Row],[Último]]/B1025)-1</f>
        <v>-4.9670552458185302E-3</v>
      </c>
    </row>
    <row r="1027" spans="1:3" x14ac:dyDescent="0.25">
      <c r="A1027" s="1">
        <v>45691</v>
      </c>
      <c r="B1027" s="2">
        <v>9954</v>
      </c>
      <c r="C1027" s="4">
        <f>(WMT_data[[#This Row],[Último]]/B1026)-1</f>
        <v>1.4058679706601573E-2</v>
      </c>
    </row>
    <row r="1028" spans="1:3" x14ac:dyDescent="0.25">
      <c r="A1028" s="1">
        <v>45692</v>
      </c>
      <c r="B1028" s="2">
        <v>10077</v>
      </c>
      <c r="C1028" s="4">
        <f>(WMT_data[[#This Row],[Último]]/B1027)-1</f>
        <v>1.2356841470765545E-2</v>
      </c>
    </row>
    <row r="1029" spans="1:3" x14ac:dyDescent="0.25">
      <c r="A1029" s="1">
        <v>45693</v>
      </c>
      <c r="B1029" s="2">
        <v>10246</v>
      </c>
      <c r="C1029" s="4">
        <f>(WMT_data[[#This Row],[Último]]/B1028)-1</f>
        <v>1.6770864344546998E-2</v>
      </c>
    </row>
    <row r="1030" spans="1:3" x14ac:dyDescent="0.25">
      <c r="A1030" s="1">
        <v>45694</v>
      </c>
      <c r="B1030" s="2">
        <v>10285</v>
      </c>
      <c r="C1030" s="4">
        <f>(WMT_data[[#This Row],[Último]]/B1029)-1</f>
        <v>3.806363458910722E-3</v>
      </c>
    </row>
    <row r="1031" spans="1:3" x14ac:dyDescent="0.25">
      <c r="A1031" s="1">
        <v>45695</v>
      </c>
      <c r="B1031" s="2">
        <v>10115</v>
      </c>
      <c r="C1031" s="4">
        <f>(WMT_data[[#This Row],[Último]]/B1030)-1</f>
        <v>-1.6528925619834656E-2</v>
      </c>
    </row>
    <row r="1032" spans="1:3" x14ac:dyDescent="0.25">
      <c r="A1032" s="1">
        <v>45698</v>
      </c>
      <c r="B1032" s="2">
        <v>10292</v>
      </c>
      <c r="C1032" s="4">
        <f>(WMT_data[[#This Row],[Último]]/B1031)-1</f>
        <v>1.7498764211566931E-2</v>
      </c>
    </row>
    <row r="1033" spans="1:3" x14ac:dyDescent="0.25">
      <c r="A1033" s="1">
        <v>45699</v>
      </c>
      <c r="B1033" s="2">
        <v>10247</v>
      </c>
      <c r="C1033" s="4">
        <f>(WMT_data[[#This Row],[Último]]/B1032)-1</f>
        <v>-4.37232802176446E-3</v>
      </c>
    </row>
    <row r="1034" spans="1:3" x14ac:dyDescent="0.25">
      <c r="A1034" s="1">
        <v>45700</v>
      </c>
      <c r="B1034" s="2">
        <v>10361</v>
      </c>
      <c r="C1034" s="4">
        <f>(WMT_data[[#This Row],[Último]]/B1033)-1</f>
        <v>1.1125207377769009E-2</v>
      </c>
    </row>
    <row r="1035" spans="1:3" x14ac:dyDescent="0.25">
      <c r="A1035" s="1">
        <v>45701</v>
      </c>
      <c r="B1035" s="2">
        <v>10505</v>
      </c>
      <c r="C1035" s="4">
        <f>(WMT_data[[#This Row],[Último]]/B1034)-1</f>
        <v>1.389827236753205E-2</v>
      </c>
    </row>
    <row r="1036" spans="1:3" x14ac:dyDescent="0.25">
      <c r="A1036" s="1">
        <v>45702</v>
      </c>
      <c r="B1036" s="2">
        <v>10404</v>
      </c>
      <c r="C1036" s="4">
        <f>(WMT_data[[#This Row],[Último]]/B1035)-1</f>
        <v>-9.6144693003331616E-3</v>
      </c>
    </row>
    <row r="1037" spans="1:3" x14ac:dyDescent="0.25">
      <c r="A1037" s="1">
        <v>45706</v>
      </c>
      <c r="B1037" s="2">
        <v>10378</v>
      </c>
      <c r="C1037" s="4">
        <f>(WMT_data[[#This Row],[Último]]/B1036)-1</f>
        <v>-2.499038831218714E-3</v>
      </c>
    </row>
    <row r="1038" spans="1:3" x14ac:dyDescent="0.25">
      <c r="A1038" s="1">
        <v>45707</v>
      </c>
      <c r="B1038" s="2">
        <v>10400</v>
      </c>
      <c r="C1038" s="4">
        <f>(WMT_data[[#This Row],[Último]]/B1037)-1</f>
        <v>2.1198689535555371E-3</v>
      </c>
    </row>
    <row r="1039" spans="1:3" x14ac:dyDescent="0.25">
      <c r="A1039" s="1">
        <v>45708</v>
      </c>
      <c r="B1039" s="2">
        <v>9721</v>
      </c>
      <c r="C1039" s="4">
        <f>(WMT_data[[#This Row],[Último]]/B1038)-1</f>
        <v>-6.5288461538461573E-2</v>
      </c>
    </row>
    <row r="1040" spans="1:3" x14ac:dyDescent="0.25">
      <c r="A1040" s="1">
        <v>45709</v>
      </c>
      <c r="B1040" s="2">
        <v>9478</v>
      </c>
      <c r="C1040" s="4">
        <f>(WMT_data[[#This Row],[Último]]/B1039)-1</f>
        <v>-2.4997428248122566E-2</v>
      </c>
    </row>
    <row r="1041" spans="1:3" x14ac:dyDescent="0.25">
      <c r="A1041" s="1">
        <v>45712</v>
      </c>
      <c r="B1041" s="2">
        <v>9367</v>
      </c>
      <c r="C1041" s="4">
        <f>(WMT_data[[#This Row],[Último]]/B1040)-1</f>
        <v>-1.1711331504536848E-2</v>
      </c>
    </row>
    <row r="1042" spans="1:3" x14ac:dyDescent="0.25">
      <c r="A1042" s="1">
        <v>45713</v>
      </c>
      <c r="B1042" s="2">
        <v>9769</v>
      </c>
      <c r="C1042" s="4">
        <f>(WMT_data[[#This Row],[Último]]/B1041)-1</f>
        <v>4.2916622184263842E-2</v>
      </c>
    </row>
    <row r="1043" spans="1:3" x14ac:dyDescent="0.25">
      <c r="A1043" s="1">
        <v>45714</v>
      </c>
      <c r="B1043" s="2">
        <v>9620</v>
      </c>
      <c r="C1043" s="4">
        <f>(WMT_data[[#This Row],[Último]]/B1042)-1</f>
        <v>-1.5252328795168357E-2</v>
      </c>
    </row>
    <row r="1044" spans="1:3" x14ac:dyDescent="0.25">
      <c r="A1044" s="1">
        <v>45715</v>
      </c>
      <c r="B1044" s="2">
        <v>9679</v>
      </c>
      <c r="C1044" s="4">
        <f>(WMT_data[[#This Row],[Último]]/B1043)-1</f>
        <v>6.1330561330561473E-3</v>
      </c>
    </row>
    <row r="1045" spans="1:3" x14ac:dyDescent="0.25">
      <c r="A1045" s="1">
        <v>45716</v>
      </c>
      <c r="B1045" s="2">
        <v>9861</v>
      </c>
      <c r="C1045" s="4">
        <f>(WMT_data[[#This Row],[Último]]/B1044)-1</f>
        <v>1.880359541274923E-2</v>
      </c>
    </row>
    <row r="1046" spans="1:3" x14ac:dyDescent="0.25">
      <c r="A1046" s="1">
        <v>45719</v>
      </c>
      <c r="B1046" s="2">
        <v>9759</v>
      </c>
      <c r="C1046" s="4">
        <f>(WMT_data[[#This Row],[Último]]/B1045)-1</f>
        <v>-1.0343778521448077E-2</v>
      </c>
    </row>
    <row r="1047" spans="1:3" x14ac:dyDescent="0.25">
      <c r="A1047" s="1">
        <v>45720</v>
      </c>
      <c r="B1047" s="2">
        <v>9497</v>
      </c>
      <c r="C1047" s="4">
        <f>(WMT_data[[#This Row],[Último]]/B1046)-1</f>
        <v>-2.6847013013628462E-2</v>
      </c>
    </row>
    <row r="1048" spans="1:3" x14ac:dyDescent="0.25">
      <c r="A1048" s="1">
        <v>45721</v>
      </c>
      <c r="B1048" s="2">
        <v>9598</v>
      </c>
      <c r="C1048" s="4">
        <f>(WMT_data[[#This Row],[Último]]/B1047)-1</f>
        <v>1.063493734863652E-2</v>
      </c>
    </row>
    <row r="1049" spans="1:3" x14ac:dyDescent="0.25">
      <c r="A1049" s="1">
        <v>45722</v>
      </c>
      <c r="B1049" s="2">
        <v>9464</v>
      </c>
      <c r="C1049" s="4">
        <f>(WMT_data[[#This Row],[Último]]/B1048)-1</f>
        <v>-1.3961241925401158E-2</v>
      </c>
    </row>
    <row r="1050" spans="1:3" x14ac:dyDescent="0.25">
      <c r="A1050" s="1">
        <v>45723</v>
      </c>
      <c r="B1050" s="2">
        <v>9172</v>
      </c>
      <c r="C1050" s="4">
        <f>(WMT_data[[#This Row],[Último]]/B1049)-1</f>
        <v>-3.0853761622992359E-2</v>
      </c>
    </row>
    <row r="1051" spans="1:3" x14ac:dyDescent="0.25">
      <c r="A1051" s="1">
        <v>45726</v>
      </c>
      <c r="B1051" s="2">
        <v>8782</v>
      </c>
      <c r="C1051" s="4">
        <f>(WMT_data[[#This Row],[Último]]/B1050)-1</f>
        <v>-4.2520715220235483E-2</v>
      </c>
    </row>
    <row r="1052" spans="1:3" x14ac:dyDescent="0.25">
      <c r="A1052" s="1">
        <v>45727</v>
      </c>
      <c r="B1052" s="2">
        <v>8744</v>
      </c>
      <c r="C1052" s="4">
        <f>(WMT_data[[#This Row],[Último]]/B1051)-1</f>
        <v>-4.3270325666134868E-3</v>
      </c>
    </row>
    <row r="1053" spans="1:3" x14ac:dyDescent="0.25">
      <c r="A1053" s="1">
        <v>45728</v>
      </c>
      <c r="B1053" s="2">
        <v>8520</v>
      </c>
      <c r="C1053" s="4">
        <f>(WMT_data[[#This Row],[Último]]/B1052)-1</f>
        <v>-2.5617566331198494E-2</v>
      </c>
    </row>
    <row r="1054" spans="1:3" x14ac:dyDescent="0.25">
      <c r="A1054" s="1">
        <v>45729</v>
      </c>
      <c r="B1054" s="2">
        <v>8450</v>
      </c>
      <c r="C1054" s="4">
        <f>(WMT_data[[#This Row],[Último]]/B1053)-1</f>
        <v>-8.215962441314506E-3</v>
      </c>
    </row>
    <row r="1055" spans="1:3" x14ac:dyDescent="0.25">
      <c r="A1055" s="1">
        <v>45730</v>
      </c>
      <c r="B1055" s="2">
        <v>8535</v>
      </c>
      <c r="C1055" s="4">
        <f>(WMT_data[[#This Row],[Último]]/B1054)-1</f>
        <v>1.0059171597633032E-2</v>
      </c>
    </row>
    <row r="1056" spans="1:3" x14ac:dyDescent="0.25">
      <c r="A1056" s="1">
        <v>45733</v>
      </c>
      <c r="B1056" s="2">
        <v>8746</v>
      </c>
      <c r="C1056" s="4">
        <f>(WMT_data[[#This Row],[Último]]/B1055)-1</f>
        <v>2.4721734036321052E-2</v>
      </c>
    </row>
    <row r="1057" spans="1:3" x14ac:dyDescent="0.25">
      <c r="A1057" s="1">
        <v>45734</v>
      </c>
      <c r="B1057" s="2">
        <v>8559</v>
      </c>
      <c r="C1057" s="4">
        <f>(WMT_data[[#This Row],[Último]]/B1056)-1</f>
        <v>-2.1381202835581981E-2</v>
      </c>
    </row>
    <row r="1058" spans="1:3" x14ac:dyDescent="0.25">
      <c r="A1058" s="1">
        <v>45735</v>
      </c>
      <c r="B1058" s="2">
        <v>8633</v>
      </c>
      <c r="C1058" s="4">
        <f>(WMT_data[[#This Row],[Último]]/B1057)-1</f>
        <v>8.6458698446079119E-3</v>
      </c>
    </row>
    <row r="1059" spans="1:3" x14ac:dyDescent="0.25">
      <c r="A1059" s="1">
        <v>45736</v>
      </c>
      <c r="B1059" s="2">
        <v>8581</v>
      </c>
      <c r="C1059" s="4">
        <f>(WMT_data[[#This Row],[Último]]/B1058)-1</f>
        <v>-6.0233985868179962E-3</v>
      </c>
    </row>
    <row r="1060" spans="1:3" x14ac:dyDescent="0.25">
      <c r="A1060" s="1">
        <v>45737</v>
      </c>
      <c r="B1060" s="2">
        <v>8598</v>
      </c>
      <c r="C1060" s="4">
        <f>(WMT_data[[#This Row],[Último]]/B1059)-1</f>
        <v>1.9811210814590918E-3</v>
      </c>
    </row>
    <row r="1061" spans="1:3" x14ac:dyDescent="0.25">
      <c r="A1061" s="1">
        <v>45740</v>
      </c>
      <c r="B1061" s="2">
        <v>8749</v>
      </c>
      <c r="C1061" s="4">
        <f>(WMT_data[[#This Row],[Último]]/B1060)-1</f>
        <v>1.7562223772970453E-2</v>
      </c>
    </row>
    <row r="1062" spans="1:3" x14ac:dyDescent="0.25">
      <c r="A1062" s="1">
        <v>45741</v>
      </c>
      <c r="B1062" s="2">
        <v>8476</v>
      </c>
      <c r="C1062" s="4">
        <f>(WMT_data[[#This Row],[Último]]/B1061)-1</f>
        <v>-3.1203566121842496E-2</v>
      </c>
    </row>
    <row r="1063" spans="1:3" x14ac:dyDescent="0.25">
      <c r="A1063" s="1">
        <v>45742</v>
      </c>
      <c r="B1063" s="2">
        <v>8521</v>
      </c>
      <c r="C1063" s="4">
        <f>(WMT_data[[#This Row],[Último]]/B1062)-1</f>
        <v>5.3091080698441928E-3</v>
      </c>
    </row>
    <row r="1064" spans="1:3" x14ac:dyDescent="0.25">
      <c r="A1064" s="1">
        <v>45743</v>
      </c>
      <c r="B1064" s="2">
        <v>8563</v>
      </c>
      <c r="C1064" s="4">
        <f>(WMT_data[[#This Row],[Último]]/B1063)-1</f>
        <v>4.928998943785956E-3</v>
      </c>
    </row>
    <row r="1065" spans="1:3" x14ac:dyDescent="0.25">
      <c r="A1065" s="1">
        <v>45744</v>
      </c>
      <c r="B1065" s="2">
        <v>8515</v>
      </c>
      <c r="C1065" s="4">
        <f>(WMT_data[[#This Row],[Último]]/B1064)-1</f>
        <v>-5.6055120868854225E-3</v>
      </c>
    </row>
    <row r="1066" spans="1:3" x14ac:dyDescent="0.25">
      <c r="A1066" s="1">
        <v>45747</v>
      </c>
      <c r="B1066" s="2">
        <v>8779</v>
      </c>
      <c r="C1066" s="4">
        <f>(WMT_data[[#This Row],[Último]]/B1065)-1</f>
        <v>3.1004110393423323E-2</v>
      </c>
    </row>
    <row r="1067" spans="1:3" x14ac:dyDescent="0.25">
      <c r="A1067" s="1">
        <v>45748</v>
      </c>
      <c r="B1067" s="2">
        <v>8883</v>
      </c>
      <c r="C1067" s="4">
        <f>(WMT_data[[#This Row],[Último]]/B1066)-1</f>
        <v>1.1846451759881527E-2</v>
      </c>
    </row>
    <row r="1068" spans="1:3" x14ac:dyDescent="0.25">
      <c r="A1068" s="1">
        <v>45749</v>
      </c>
      <c r="B1068" s="2">
        <v>8976</v>
      </c>
      <c r="C1068" s="4">
        <f>(WMT_data[[#This Row],[Último]]/B1067)-1</f>
        <v>1.0469436001350862E-2</v>
      </c>
    </row>
    <row r="1069" spans="1:3" x14ac:dyDescent="0.25">
      <c r="A1069" s="1">
        <v>45750</v>
      </c>
      <c r="B1069" s="2">
        <v>8726</v>
      </c>
      <c r="C1069" s="4">
        <f>(WMT_data[[#This Row],[Último]]/B1068)-1</f>
        <v>-2.7852049910873422E-2</v>
      </c>
    </row>
    <row r="1070" spans="1:3" x14ac:dyDescent="0.25">
      <c r="A1070" s="1">
        <v>45751</v>
      </c>
      <c r="B1070" s="2">
        <v>8319</v>
      </c>
      <c r="C1070" s="4">
        <f>(WMT_data[[#This Row],[Último]]/B1069)-1</f>
        <v>-4.6642218656887446E-2</v>
      </c>
    </row>
    <row r="1071" spans="1:3" x14ac:dyDescent="0.25">
      <c r="A1071" s="1">
        <v>45754</v>
      </c>
      <c r="B1071" s="2">
        <v>8383</v>
      </c>
      <c r="C1071" s="4">
        <f>(WMT_data[[#This Row],[Último]]/B1070)-1</f>
        <v>7.693232359658575E-3</v>
      </c>
    </row>
    <row r="1072" spans="1:3" x14ac:dyDescent="0.25">
      <c r="A1072" s="1">
        <v>45755</v>
      </c>
      <c r="B1072" s="2">
        <v>8179</v>
      </c>
      <c r="C1072" s="4">
        <f>(WMT_data[[#This Row],[Último]]/B1071)-1</f>
        <v>-2.4334963616843619E-2</v>
      </c>
    </row>
    <row r="1073" spans="1:3" x14ac:dyDescent="0.25">
      <c r="A1073" s="1">
        <v>45756</v>
      </c>
      <c r="B1073" s="2">
        <v>8960</v>
      </c>
      <c r="C1073" s="4">
        <f>(WMT_data[[#This Row],[Último]]/B1072)-1</f>
        <v>9.5488446020295825E-2</v>
      </c>
    </row>
    <row r="1074" spans="1:3" x14ac:dyDescent="0.25">
      <c r="A1074" s="1">
        <v>45757</v>
      </c>
      <c r="B1074" s="2">
        <v>9061</v>
      </c>
      <c r="C1074" s="4">
        <f>(WMT_data[[#This Row],[Último]]/B1073)-1</f>
        <v>1.1272321428571486E-2</v>
      </c>
    </row>
    <row r="1075" spans="1:3" x14ac:dyDescent="0.25">
      <c r="A1075" s="1">
        <v>45758</v>
      </c>
      <c r="B1075" s="2">
        <v>9280</v>
      </c>
      <c r="C1075" s="4">
        <f>(WMT_data[[#This Row],[Último]]/B1074)-1</f>
        <v>2.4169517713276578E-2</v>
      </c>
    </row>
    <row r="1076" spans="1:3" x14ac:dyDescent="0.25">
      <c r="A1076" s="1">
        <v>45761</v>
      </c>
      <c r="B1076" s="2">
        <v>9473</v>
      </c>
      <c r="C1076" s="4">
        <f>(WMT_data[[#This Row],[Último]]/B1075)-1</f>
        <v>2.0797413793103514E-2</v>
      </c>
    </row>
    <row r="1077" spans="1:3" x14ac:dyDescent="0.25">
      <c r="A1077" s="1">
        <v>45762</v>
      </c>
      <c r="B1077" s="2">
        <v>9397</v>
      </c>
      <c r="C1077" s="4">
        <f>(WMT_data[[#This Row],[Último]]/B1076)-1</f>
        <v>-8.0228016467855934E-3</v>
      </c>
    </row>
    <row r="1078" spans="1:3" x14ac:dyDescent="0.25">
      <c r="A1078" s="1">
        <v>45763</v>
      </c>
      <c r="B1078" s="2">
        <v>9119</v>
      </c>
      <c r="C1078" s="4">
        <f>(WMT_data[[#This Row],[Último]]/B1077)-1</f>
        <v>-2.9583909758433502E-2</v>
      </c>
    </row>
    <row r="1079" spans="1:3" x14ac:dyDescent="0.25">
      <c r="A1079" s="1">
        <v>45764</v>
      </c>
      <c r="B1079" s="2">
        <v>9322</v>
      </c>
      <c r="C1079" s="4">
        <f>(WMT_data[[#This Row],[Último]]/B1078)-1</f>
        <v>2.2261212852286327E-2</v>
      </c>
    </row>
    <row r="1080" spans="1:3" x14ac:dyDescent="0.25">
      <c r="A1080" s="1">
        <v>45768</v>
      </c>
      <c r="B1080" s="2">
        <v>9241</v>
      </c>
      <c r="C1080" s="4">
        <f>(WMT_data[[#This Row],[Último]]/B1079)-1</f>
        <v>-8.6891225059000377E-3</v>
      </c>
    </row>
    <row r="1081" spans="1:3" x14ac:dyDescent="0.25">
      <c r="A1081" s="1">
        <v>45769</v>
      </c>
      <c r="B1081" s="2">
        <v>9485</v>
      </c>
      <c r="C1081" s="4">
        <f>(WMT_data[[#This Row],[Último]]/B1080)-1</f>
        <v>2.6404068823720372E-2</v>
      </c>
    </row>
    <row r="1082" spans="1:3" x14ac:dyDescent="0.25">
      <c r="A1082" s="1">
        <v>45770</v>
      </c>
      <c r="B1082" s="2">
        <v>9496</v>
      </c>
      <c r="C1082" s="4">
        <f>(WMT_data[[#This Row],[Último]]/B1081)-1</f>
        <v>1.1597258829731949E-3</v>
      </c>
    </row>
    <row r="1083" spans="1:3" x14ac:dyDescent="0.25">
      <c r="A1083" s="1">
        <v>45771</v>
      </c>
      <c r="B1083" s="2">
        <v>9584</v>
      </c>
      <c r="C1083" s="4">
        <f>(WMT_data[[#This Row],[Último]]/B1082)-1</f>
        <v>9.2670598146586958E-3</v>
      </c>
    </row>
    <row r="1084" spans="1:3" x14ac:dyDescent="0.25">
      <c r="A1084" s="1">
        <v>45772</v>
      </c>
      <c r="B1084" s="2">
        <v>9509</v>
      </c>
      <c r="C1084" s="4">
        <f>(WMT_data[[#This Row],[Último]]/B1083)-1</f>
        <v>-7.8255425709515825E-3</v>
      </c>
    </row>
    <row r="1085" spans="1:3" x14ac:dyDescent="0.25">
      <c r="A1085" s="1">
        <v>45775</v>
      </c>
      <c r="B1085" s="2">
        <v>9522</v>
      </c>
      <c r="C1085" s="4">
        <f>(WMT_data[[#This Row],[Último]]/B1084)-1</f>
        <v>1.3671258807446129E-3</v>
      </c>
    </row>
    <row r="1086" spans="1:3" x14ac:dyDescent="0.25">
      <c r="A1086" s="1">
        <v>45776</v>
      </c>
      <c r="B1086" s="2">
        <v>9604</v>
      </c>
      <c r="C1086" s="4">
        <f>(WMT_data[[#This Row],[Último]]/B1085)-1</f>
        <v>8.6116362108801248E-3</v>
      </c>
    </row>
    <row r="1087" spans="1:3" x14ac:dyDescent="0.25">
      <c r="A1087" s="1">
        <v>45777</v>
      </c>
      <c r="B1087" s="2">
        <v>9725</v>
      </c>
      <c r="C1087" s="4">
        <f>(WMT_data[[#This Row],[Último]]/B1086)-1</f>
        <v>1.2598917117867536E-2</v>
      </c>
    </row>
    <row r="1088" spans="1:3" x14ac:dyDescent="0.25">
      <c r="A1088" s="1">
        <v>45778</v>
      </c>
      <c r="B1088" s="2">
        <v>9741</v>
      </c>
      <c r="C1088" s="4">
        <f>(WMT_data[[#This Row],[Último]]/B1087)-1</f>
        <v>1.6452442159382574E-3</v>
      </c>
    </row>
    <row r="1089" spans="1:3" x14ac:dyDescent="0.25">
      <c r="A1089" s="1">
        <v>45779</v>
      </c>
      <c r="B1089" s="2">
        <v>9875</v>
      </c>
      <c r="C1089" s="4">
        <f>(WMT_data[[#This Row],[Último]]/B1088)-1</f>
        <v>1.375628785545624E-2</v>
      </c>
    </row>
    <row r="1090" spans="1:3" x14ac:dyDescent="0.25">
      <c r="A1090" s="1">
        <v>45782</v>
      </c>
      <c r="B1090" s="2">
        <v>9933</v>
      </c>
      <c r="C1090" s="4">
        <f>(WMT_data[[#This Row],[Último]]/B1089)-1</f>
        <v>5.8734177215189476E-3</v>
      </c>
    </row>
    <row r="1091" spans="1:3" x14ac:dyDescent="0.25">
      <c r="A1091" s="1">
        <v>45783</v>
      </c>
      <c r="B1091" s="2">
        <v>9855</v>
      </c>
      <c r="C1091" s="4">
        <f>(WMT_data[[#This Row],[Último]]/B1090)-1</f>
        <v>-7.8526125037753358E-3</v>
      </c>
    </row>
    <row r="1092" spans="1:3" x14ac:dyDescent="0.25">
      <c r="A1092" s="1">
        <v>45784</v>
      </c>
      <c r="B1092" s="2">
        <v>9883</v>
      </c>
      <c r="C1092" s="4">
        <f>(WMT_data[[#This Row],[Último]]/B1091)-1</f>
        <v>2.8411973617452624E-3</v>
      </c>
    </row>
    <row r="1093" spans="1:3" x14ac:dyDescent="0.25">
      <c r="A1093" s="1">
        <v>45785</v>
      </c>
      <c r="B1093" s="2">
        <v>9743</v>
      </c>
      <c r="C1093" s="4">
        <f>(WMT_data[[#This Row],[Último]]/B1092)-1</f>
        <v>-1.4165739148031986E-2</v>
      </c>
    </row>
    <row r="1094" spans="1:3" x14ac:dyDescent="0.25">
      <c r="A1094" s="1">
        <v>45786</v>
      </c>
      <c r="B1094" s="2">
        <v>9672</v>
      </c>
      <c r="C1094" s="4">
        <f>(WMT_data[[#This Row],[Último]]/B1093)-1</f>
        <v>-7.2872831776660263E-3</v>
      </c>
    </row>
    <row r="1095" spans="1:3" x14ac:dyDescent="0.25">
      <c r="A1095" s="1">
        <v>45789</v>
      </c>
      <c r="B1095" s="2">
        <v>9675</v>
      </c>
      <c r="C1095" s="4">
        <f>(WMT_data[[#This Row],[Último]]/B1094)-1</f>
        <v>3.1017369727037725E-4</v>
      </c>
    </row>
    <row r="1096" spans="1:3" x14ac:dyDescent="0.25">
      <c r="A1096" s="1">
        <v>45790</v>
      </c>
      <c r="B1096" s="2">
        <v>9588</v>
      </c>
      <c r="C1096" s="4">
        <f>(WMT_data[[#This Row],[Último]]/B1095)-1</f>
        <v>-8.9922480620154843E-3</v>
      </c>
    </row>
    <row r="1097" spans="1:3" x14ac:dyDescent="0.25">
      <c r="A1097" s="1">
        <v>45791</v>
      </c>
      <c r="B1097" s="2">
        <v>9683</v>
      </c>
      <c r="C1097" s="4">
        <f>(WMT_data[[#This Row],[Último]]/B1096)-1</f>
        <v>9.9082186065915234E-3</v>
      </c>
    </row>
    <row r="1098" spans="1:3" x14ac:dyDescent="0.25">
      <c r="A1098" s="1">
        <v>45792</v>
      </c>
      <c r="B1098" s="2">
        <v>9635</v>
      </c>
      <c r="C1098" s="4">
        <f>(WMT_data[[#This Row],[Último]]/B1097)-1</f>
        <v>-4.9571413818031429E-3</v>
      </c>
    </row>
    <row r="1099" spans="1:3" x14ac:dyDescent="0.25">
      <c r="A1099" s="1">
        <v>45793</v>
      </c>
      <c r="B1099" s="2">
        <v>9824</v>
      </c>
      <c r="C1099" s="4">
        <f>(WMT_data[[#This Row],[Último]]/B1098)-1</f>
        <v>1.961598339387649E-2</v>
      </c>
    </row>
    <row r="1100" spans="1:3" x14ac:dyDescent="0.25">
      <c r="A1100" s="1">
        <v>45796</v>
      </c>
      <c r="B1100" s="2">
        <v>9812</v>
      </c>
      <c r="C1100" s="4">
        <f>(WMT_data[[#This Row],[Último]]/B1099)-1</f>
        <v>-1.2214983713354499E-3</v>
      </c>
    </row>
    <row r="1101" spans="1:3" x14ac:dyDescent="0.25">
      <c r="A1101" s="1">
        <v>45797</v>
      </c>
      <c r="B1101" s="2">
        <v>9780</v>
      </c>
      <c r="C1101" s="4">
        <f>(WMT_data[[#This Row],[Último]]/B1100)-1</f>
        <v>-3.2613126783530566E-3</v>
      </c>
    </row>
    <row r="1102" spans="1:3" x14ac:dyDescent="0.25">
      <c r="A1102" s="1">
        <v>45798</v>
      </c>
      <c r="B1102" s="2">
        <v>9643</v>
      </c>
      <c r="C1102" s="4">
        <f>(WMT_data[[#This Row],[Último]]/B1101)-1</f>
        <v>-1.4008179959100198E-2</v>
      </c>
    </row>
    <row r="1103" spans="1:3" x14ac:dyDescent="0.25">
      <c r="A1103" s="1">
        <v>45799</v>
      </c>
      <c r="B1103" s="2">
        <v>9593</v>
      </c>
      <c r="C1103" s="4">
        <f>(WMT_data[[#This Row],[Último]]/B1102)-1</f>
        <v>-5.1851083687649568E-3</v>
      </c>
    </row>
    <row r="1104" spans="1:3" x14ac:dyDescent="0.25">
      <c r="A1104" s="1">
        <v>45800</v>
      </c>
      <c r="B1104" s="2">
        <v>9634</v>
      </c>
      <c r="C1104" s="4">
        <f>(WMT_data[[#This Row],[Último]]/B1103)-1</f>
        <v>4.2739497550297045E-3</v>
      </c>
    </row>
    <row r="1105" spans="1:3" x14ac:dyDescent="0.25">
      <c r="A1105" s="1">
        <v>45804</v>
      </c>
      <c r="B1105" s="2">
        <v>9758</v>
      </c>
      <c r="C1105" s="4">
        <f>(WMT_data[[#This Row],[Último]]/B1104)-1</f>
        <v>1.2871081586049327E-2</v>
      </c>
    </row>
    <row r="1106" spans="1:3" x14ac:dyDescent="0.25">
      <c r="A1106" s="1">
        <v>45805</v>
      </c>
      <c r="B1106" s="2">
        <v>9724</v>
      </c>
      <c r="C1106" s="4">
        <f>(WMT_data[[#This Row],[Último]]/B1105)-1</f>
        <v>-3.4843205574912606E-3</v>
      </c>
    </row>
    <row r="1107" spans="1:3" x14ac:dyDescent="0.25">
      <c r="A1107" s="1">
        <v>45806</v>
      </c>
      <c r="B1107" s="2">
        <v>9710</v>
      </c>
      <c r="C1107" s="4">
        <f>(WMT_data[[#This Row],[Último]]/B1106)-1</f>
        <v>-1.4397367338543354E-3</v>
      </c>
    </row>
    <row r="1108" spans="1:3" x14ac:dyDescent="0.25">
      <c r="A1108" s="1">
        <v>45807</v>
      </c>
      <c r="B1108" s="2">
        <v>9872</v>
      </c>
      <c r="C1108" s="4">
        <f>(WMT_data[[#This Row],[Último]]/B1107)-1</f>
        <v>1.6683831101956814E-2</v>
      </c>
    </row>
    <row r="1109" spans="1:3" x14ac:dyDescent="0.25">
      <c r="A1109" s="1">
        <v>45810</v>
      </c>
      <c r="B1109" s="2">
        <v>9977</v>
      </c>
      <c r="C1109" s="4">
        <f>(WMT_data[[#This Row],[Último]]/B1108)-1</f>
        <v>1.0636142625607858E-2</v>
      </c>
    </row>
    <row r="1110" spans="1:3" x14ac:dyDescent="0.25">
      <c r="A1110" s="1">
        <v>45811</v>
      </c>
      <c r="B1110" s="2">
        <v>9998</v>
      </c>
      <c r="C1110" s="4">
        <f>(WMT_data[[#This Row],[Último]]/B1109)-1</f>
        <v>2.1048411346096252E-3</v>
      </c>
    </row>
    <row r="1111" spans="1:3" x14ac:dyDescent="0.25">
      <c r="A1111" s="1">
        <v>45812</v>
      </c>
      <c r="B1111" s="2">
        <v>9935</v>
      </c>
      <c r="C1111" s="4">
        <f>(WMT_data[[#This Row],[Último]]/B1110)-1</f>
        <v>-6.3012602520503558E-3</v>
      </c>
    </row>
    <row r="1112" spans="1:3" x14ac:dyDescent="0.25">
      <c r="A1112" s="1">
        <v>45813</v>
      </c>
      <c r="B1112" s="2">
        <v>9796</v>
      </c>
      <c r="C1112" s="4">
        <f>(WMT_data[[#This Row],[Último]]/B1111)-1</f>
        <v>-1.3990941117262179E-2</v>
      </c>
    </row>
    <row r="1113" spans="1:3" x14ac:dyDescent="0.25">
      <c r="A1113" s="1">
        <v>45814</v>
      </c>
      <c r="B1113" s="2">
        <v>9747</v>
      </c>
      <c r="C1113" s="4">
        <f>(WMT_data[[#This Row],[Último]]/B1112)-1</f>
        <v>-5.0020416496528997E-3</v>
      </c>
    </row>
    <row r="1114" spans="1:3" x14ac:dyDescent="0.25">
      <c r="A1114" s="1">
        <v>45817</v>
      </c>
      <c r="B1114" s="2">
        <v>9745</v>
      </c>
      <c r="C1114" s="4">
        <f>(WMT_data[[#This Row],[Último]]/B1113)-1</f>
        <v>-2.05191340925448E-4</v>
      </c>
    </row>
    <row r="1115" spans="1:3" x14ac:dyDescent="0.25">
      <c r="A1115" s="1">
        <v>45818</v>
      </c>
      <c r="B1115" s="2">
        <v>9732</v>
      </c>
      <c r="C1115" s="4">
        <f>(WMT_data[[#This Row],[Último]]/B1114)-1</f>
        <v>-1.334017444843516E-3</v>
      </c>
    </row>
    <row r="1116" spans="1:3" x14ac:dyDescent="0.25">
      <c r="A1116" s="1">
        <v>45819</v>
      </c>
      <c r="B1116" s="2">
        <v>9580</v>
      </c>
      <c r="C1116" s="4">
        <f>(WMT_data[[#This Row],[Último]]/B1115)-1</f>
        <v>-1.5618577887381857E-2</v>
      </c>
    </row>
    <row r="1117" spans="1:3" x14ac:dyDescent="0.25">
      <c r="A1117" s="1">
        <v>45820</v>
      </c>
      <c r="B1117" s="2">
        <v>9483</v>
      </c>
      <c r="C1117" s="4">
        <f>(WMT_data[[#This Row],[Último]]/B1116)-1</f>
        <v>-1.0125260960334059E-2</v>
      </c>
    </row>
    <row r="1118" spans="1:3" x14ac:dyDescent="0.25">
      <c r="A1118" s="1">
        <v>45821</v>
      </c>
      <c r="B1118" s="2">
        <v>9444</v>
      </c>
      <c r="C1118" s="4">
        <f>(WMT_data[[#This Row],[Último]]/B1117)-1</f>
        <v>-4.1126225877886613E-3</v>
      </c>
    </row>
    <row r="1119" spans="1:3" x14ac:dyDescent="0.25">
      <c r="A1119" s="1">
        <v>45824</v>
      </c>
      <c r="B1119" s="2">
        <v>9429</v>
      </c>
      <c r="C1119" s="4">
        <f>(WMT_data[[#This Row],[Último]]/B1118)-1</f>
        <v>-1.5883100381194337E-3</v>
      </c>
    </row>
    <row r="1120" spans="1:3" x14ac:dyDescent="0.25">
      <c r="A1120" s="1">
        <v>45825</v>
      </c>
      <c r="B1120" s="2">
        <v>9425</v>
      </c>
      <c r="C1120" s="4">
        <f>(WMT_data[[#This Row],[Último]]/B1119)-1</f>
        <v>-4.2422314137235961E-4</v>
      </c>
    </row>
    <row r="1121" spans="1:3" x14ac:dyDescent="0.25">
      <c r="A1121" s="1">
        <v>45826</v>
      </c>
      <c r="B1121" s="2">
        <v>9509</v>
      </c>
      <c r="C1121" s="4">
        <f>(WMT_data[[#This Row],[Último]]/B1120)-1</f>
        <v>8.9124668435012211E-3</v>
      </c>
    </row>
    <row r="1122" spans="1:3" x14ac:dyDescent="0.25">
      <c r="A1122" s="1">
        <v>45828</v>
      </c>
      <c r="B1122" s="2">
        <v>9612</v>
      </c>
      <c r="C1122" s="4">
        <f>(WMT_data[[#This Row],[Último]]/B1121)-1</f>
        <v>1.0831843516668327E-2</v>
      </c>
    </row>
    <row r="1123" spans="1:3" x14ac:dyDescent="0.25">
      <c r="A1123" s="1">
        <v>45831</v>
      </c>
      <c r="B1123" s="2">
        <v>9787</v>
      </c>
      <c r="C1123" s="4">
        <f>(WMT_data[[#This Row],[Último]]/B1122)-1</f>
        <v>1.8206408655846884E-2</v>
      </c>
    </row>
    <row r="1124" spans="1:3" x14ac:dyDescent="0.25">
      <c r="A1124" s="1">
        <v>45832</v>
      </c>
      <c r="B1124" s="2">
        <v>9800</v>
      </c>
      <c r="C1124" s="4">
        <f>(WMT_data[[#This Row],[Último]]/B1123)-1</f>
        <v>1.328292633084649E-3</v>
      </c>
    </row>
    <row r="1125" spans="1:3" x14ac:dyDescent="0.25">
      <c r="A1125" s="1">
        <v>45833</v>
      </c>
      <c r="B1125" s="2">
        <v>9726</v>
      </c>
      <c r="C1125" s="4">
        <f>(WMT_data[[#This Row],[Último]]/B1124)-1</f>
        <v>-7.5510204081632448E-3</v>
      </c>
    </row>
    <row r="1126" spans="1:3" x14ac:dyDescent="0.25">
      <c r="A1126" s="1">
        <v>45834</v>
      </c>
      <c r="B1126" s="2">
        <v>9602</v>
      </c>
      <c r="C1126" s="4">
        <f>(WMT_data[[#This Row],[Último]]/B1125)-1</f>
        <v>-1.2749331688258314E-2</v>
      </c>
    </row>
    <row r="1127" spans="1:3" x14ac:dyDescent="0.25">
      <c r="A1127" s="1">
        <v>45835</v>
      </c>
      <c r="B1127" s="2">
        <v>9727</v>
      </c>
      <c r="C1127" s="4">
        <f>(WMT_data[[#This Row],[Último]]/B1126)-1</f>
        <v>1.3018121224744883E-2</v>
      </c>
    </row>
    <row r="1128" spans="1:3" x14ac:dyDescent="0.25">
      <c r="A1128" s="1">
        <v>45838</v>
      </c>
      <c r="B1128" s="2">
        <v>9778</v>
      </c>
      <c r="C1128" s="4">
        <f>(WMT_data[[#This Row],[Último]]/B1127)-1</f>
        <v>5.2431376580652778E-3</v>
      </c>
    </row>
    <row r="1129" spans="1:3" x14ac:dyDescent="0.25">
      <c r="A1129" s="1">
        <v>45839</v>
      </c>
      <c r="B1129" s="2">
        <v>9824</v>
      </c>
      <c r="C1129" s="4">
        <f>(WMT_data[[#This Row],[Último]]/B1128)-1</f>
        <v>4.7044385354877427E-3</v>
      </c>
    </row>
    <row r="1130" spans="1:3" x14ac:dyDescent="0.25">
      <c r="A1130" s="1">
        <v>45840</v>
      </c>
      <c r="B1130" s="2">
        <v>9761</v>
      </c>
      <c r="C1130" s="4">
        <f>(WMT_data[[#This Row],[Último]]/B1129)-1</f>
        <v>-6.4128664495114451E-3</v>
      </c>
    </row>
    <row r="1131" spans="1:3" x14ac:dyDescent="0.25">
      <c r="A1131" s="1">
        <v>45841</v>
      </c>
      <c r="B1131" s="2">
        <v>9836</v>
      </c>
      <c r="C1131" s="4">
        <f>(WMT_data[[#This Row],[Último]]/B1130)-1</f>
        <v>7.683638971416773E-3</v>
      </c>
    </row>
    <row r="1132" spans="1:3" x14ac:dyDescent="0.25">
      <c r="A1132" s="1">
        <v>45845</v>
      </c>
      <c r="B1132" s="2">
        <v>9935</v>
      </c>
      <c r="C1132" s="4">
        <f>(WMT_data[[#This Row],[Último]]/B1131)-1</f>
        <v>1.0065067100447411E-2</v>
      </c>
    </row>
    <row r="1133" spans="1:3" x14ac:dyDescent="0.25">
      <c r="A1133" s="1">
        <v>45846</v>
      </c>
      <c r="B1133" s="2">
        <v>9709</v>
      </c>
      <c r="C1133" s="4">
        <f>(WMT_data[[#This Row],[Último]]/B1132)-1</f>
        <v>-2.2747861097131339E-2</v>
      </c>
    </row>
    <row r="1134" spans="1:3" x14ac:dyDescent="0.25">
      <c r="A1134" s="1">
        <v>45847</v>
      </c>
      <c r="B1134" s="2">
        <v>9681</v>
      </c>
      <c r="C1134" s="4">
        <f>(WMT_data[[#This Row],[Último]]/B1133)-1</f>
        <v>-2.8839221341023791E-3</v>
      </c>
    </row>
    <row r="1135" spans="1:3" x14ac:dyDescent="0.25">
      <c r="A1135" s="1">
        <v>45848</v>
      </c>
      <c r="B1135" s="2">
        <v>9486</v>
      </c>
      <c r="C1135" s="4">
        <f>(WMT_data[[#This Row],[Último]]/B1134)-1</f>
        <v>-2.0142547257514742E-2</v>
      </c>
    </row>
    <row r="1136" spans="1:3" x14ac:dyDescent="0.25">
      <c r="A1136" s="1">
        <v>45849</v>
      </c>
      <c r="B1136" s="2">
        <v>9440</v>
      </c>
      <c r="C1136" s="4">
        <f>(WMT_data[[#This Row],[Último]]/B1135)-1</f>
        <v>-4.8492515285684101E-3</v>
      </c>
    </row>
    <row r="1137" spans="1:3" x14ac:dyDescent="0.25">
      <c r="A1137" s="1">
        <v>45852</v>
      </c>
      <c r="B1137" s="2">
        <v>9578</v>
      </c>
      <c r="C1137" s="4">
        <f>(WMT_data[[#This Row],[Último]]/B1136)-1</f>
        <v>1.4618644067796671E-2</v>
      </c>
    </row>
    <row r="1138" spans="1:3" x14ac:dyDescent="0.25">
      <c r="A1138" s="1">
        <v>45853</v>
      </c>
      <c r="B1138" s="2">
        <v>9539</v>
      </c>
      <c r="C1138" s="4">
        <f>(WMT_data[[#This Row],[Último]]/B1137)-1</f>
        <v>-4.0718312800167578E-3</v>
      </c>
    </row>
    <row r="1139" spans="1:3" x14ac:dyDescent="0.25">
      <c r="A1139" s="1">
        <v>45854</v>
      </c>
      <c r="B1139" s="2">
        <v>9515</v>
      </c>
      <c r="C1139" s="4">
        <f>(WMT_data[[#This Row],[Último]]/B1138)-1</f>
        <v>-2.5159870007338547E-3</v>
      </c>
    </row>
    <row r="1140" spans="1:3" x14ac:dyDescent="0.25">
      <c r="A1140" s="1">
        <v>45855</v>
      </c>
      <c r="B1140" s="2">
        <v>9509</v>
      </c>
      <c r="C1140" s="4">
        <f>(WMT_data[[#This Row],[Último]]/B1139)-1</f>
        <v>-6.3058328954279652E-4</v>
      </c>
    </row>
    <row r="1141" spans="1:3" x14ac:dyDescent="0.25">
      <c r="A1141" s="1">
        <v>45856</v>
      </c>
      <c r="B1141" s="2">
        <v>9505</v>
      </c>
      <c r="C1141" s="4">
        <f>(WMT_data[[#This Row],[Último]]/B1140)-1</f>
        <v>-4.2065411715219714E-4</v>
      </c>
    </row>
    <row r="1142" spans="1:3" x14ac:dyDescent="0.25">
      <c r="A1142" s="1">
        <v>45859</v>
      </c>
      <c r="B1142" s="2">
        <v>9567</v>
      </c>
      <c r="C1142" s="4">
        <f>(WMT_data[[#This Row],[Último]]/B1141)-1</f>
        <v>6.522882693319243E-3</v>
      </c>
    </row>
    <row r="1143" spans="1:3" x14ac:dyDescent="0.25">
      <c r="A1143" s="1">
        <v>45860</v>
      </c>
      <c r="B1143" s="2">
        <v>9585</v>
      </c>
      <c r="C1143" s="4">
        <f>(WMT_data[[#This Row],[Último]]/B1142)-1</f>
        <v>1.8814675446847673E-3</v>
      </c>
    </row>
    <row r="1144" spans="1:3" x14ac:dyDescent="0.25">
      <c r="A1144" s="1">
        <v>45861</v>
      </c>
      <c r="B1144" s="2">
        <v>9568</v>
      </c>
      <c r="C1144" s="4">
        <f>(WMT_data[[#This Row],[Último]]/B1143)-1</f>
        <v>-1.7736045905060172E-3</v>
      </c>
    </row>
    <row r="1145" spans="1:3" x14ac:dyDescent="0.25">
      <c r="A1145" s="1">
        <v>45862</v>
      </c>
      <c r="B1145" s="2">
        <v>9660</v>
      </c>
      <c r="C1145" s="4">
        <f>(WMT_data[[#This Row],[Último]]/B1144)-1</f>
        <v>9.6153846153845812E-3</v>
      </c>
    </row>
    <row r="1146" spans="1:3" x14ac:dyDescent="0.25">
      <c r="A1146" s="1">
        <v>45863</v>
      </c>
      <c r="B1146" s="2">
        <v>9747</v>
      </c>
      <c r="C1146" s="4">
        <f>(WMT_data[[#This Row],[Último]]/B1145)-1</f>
        <v>9.006211180124124E-3</v>
      </c>
    </row>
    <row r="1147" spans="1:3" x14ac:dyDescent="0.25">
      <c r="A1147" s="1">
        <v>45866</v>
      </c>
      <c r="B1147" s="2">
        <v>9761</v>
      </c>
      <c r="C1147" s="4">
        <f>(WMT_data[[#This Row],[Último]]/B1146)-1</f>
        <v>1.4363393864778029E-3</v>
      </c>
    </row>
    <row r="1148" spans="1:3" x14ac:dyDescent="0.25">
      <c r="A1148" s="1">
        <v>45867</v>
      </c>
      <c r="B1148" s="2">
        <v>9833</v>
      </c>
      <c r="C1148" s="4">
        <f>(WMT_data[[#This Row],[Último]]/B1147)-1</f>
        <v>7.3762934125602975E-3</v>
      </c>
    </row>
    <row r="1149" spans="1:3" x14ac:dyDescent="0.25">
      <c r="A1149" s="1">
        <v>45868</v>
      </c>
      <c r="B1149" s="2">
        <v>9759</v>
      </c>
      <c r="C1149" s="4">
        <f>(WMT_data[[#This Row],[Último]]/B1148)-1</f>
        <v>-7.5256788365707372E-3</v>
      </c>
    </row>
    <row r="1150" spans="1:3" x14ac:dyDescent="0.25">
      <c r="A1150" s="1">
        <v>45869</v>
      </c>
      <c r="B1150" s="2">
        <v>9798</v>
      </c>
      <c r="C1150" s="4">
        <f>(WMT_data[[#This Row],[Último]]/B1149)-1</f>
        <v>3.9963110974485794E-3</v>
      </c>
    </row>
    <row r="1151" spans="1:3" x14ac:dyDescent="0.25">
      <c r="A1151" s="1">
        <v>45870</v>
      </c>
      <c r="B1151" s="2">
        <v>9849</v>
      </c>
      <c r="C1151" s="4">
        <f>(WMT_data[[#This Row],[Último]]/B1150)-1</f>
        <v>5.2051439069198402E-3</v>
      </c>
    </row>
    <row r="1152" spans="1:3" x14ac:dyDescent="0.25">
      <c r="A1152" s="1">
        <v>45873</v>
      </c>
      <c r="B1152" s="2">
        <v>9959</v>
      </c>
      <c r="C1152" s="4">
        <f>(WMT_data[[#This Row],[Último]]/B1151)-1</f>
        <v>1.1168646563102902E-2</v>
      </c>
    </row>
    <row r="1153" spans="1:3" x14ac:dyDescent="0.25">
      <c r="A1153" s="1">
        <v>45874</v>
      </c>
      <c r="B1153" s="2">
        <v>9931</v>
      </c>
      <c r="C1153" s="4">
        <f>(WMT_data[[#This Row],[Último]]/B1152)-1</f>
        <v>-2.8115272617732501E-3</v>
      </c>
    </row>
    <row r="1154" spans="1:3" x14ac:dyDescent="0.25">
      <c r="A1154" s="1">
        <v>45875</v>
      </c>
      <c r="B1154" s="2">
        <v>10336</v>
      </c>
      <c r="C1154" s="4">
        <f>(WMT_data[[#This Row],[Último]]/B1153)-1</f>
        <v>4.0781391602054073E-2</v>
      </c>
    </row>
    <row r="1155" spans="1:3" x14ac:dyDescent="0.25">
      <c r="A1155" s="1">
        <v>45876</v>
      </c>
      <c r="B1155" s="2">
        <v>10312</v>
      </c>
      <c r="C1155" s="4">
        <f>(WMT_data[[#This Row],[Último]]/B1154)-1</f>
        <v>-2.3219814241486336E-3</v>
      </c>
    </row>
    <row r="1156" spans="1:3" x14ac:dyDescent="0.25">
      <c r="A1156" s="1">
        <v>45877</v>
      </c>
      <c r="B1156" s="2">
        <v>10373</v>
      </c>
      <c r="C1156" s="4">
        <f>(WMT_data[[#This Row],[Último]]/B1155)-1</f>
        <v>5.9154383242823183E-3</v>
      </c>
    </row>
    <row r="1157" spans="1:3" x14ac:dyDescent="0.25">
      <c r="A1157" s="1">
        <v>45880</v>
      </c>
      <c r="B1157" s="2">
        <v>10393</v>
      </c>
      <c r="C1157" s="4">
        <f>(WMT_data[[#This Row],[Último]]/B1156)-1</f>
        <v>1.9280825219318842E-3</v>
      </c>
    </row>
    <row r="1158" spans="1:3" x14ac:dyDescent="0.25">
      <c r="A1158" s="1">
        <v>45881</v>
      </c>
      <c r="B1158" s="2">
        <v>10362</v>
      </c>
      <c r="C1158" s="4">
        <f>(WMT_data[[#This Row],[Último]]/B1157)-1</f>
        <v>-2.9827768690464662E-3</v>
      </c>
    </row>
    <row r="1159" spans="1:3" x14ac:dyDescent="0.25">
      <c r="A1159" s="1">
        <v>45882</v>
      </c>
      <c r="B1159" s="2">
        <v>10099</v>
      </c>
      <c r="C1159" s="4">
        <f>(WMT_data[[#This Row],[Último]]/B1158)-1</f>
        <v>-2.5381200540436244E-2</v>
      </c>
    </row>
    <row r="1160" spans="1:3" x14ac:dyDescent="0.25">
      <c r="A1160" s="1">
        <v>45883</v>
      </c>
      <c r="B1160" s="2">
        <v>10085</v>
      </c>
      <c r="C1160" s="4">
        <f>(WMT_data[[#This Row],[Último]]/B1159)-1</f>
        <v>-1.386275868897946E-3</v>
      </c>
    </row>
    <row r="1161" spans="1:3" x14ac:dyDescent="0.25">
      <c r="A1161" s="1">
        <v>45884</v>
      </c>
      <c r="B1161" s="2">
        <v>10000</v>
      </c>
      <c r="C1161" s="4">
        <f>(WMT_data[[#This Row],[Último]]/B1160)-1</f>
        <v>-8.4283589489340116E-3</v>
      </c>
    </row>
    <row r="1162" spans="1:3" x14ac:dyDescent="0.25">
      <c r="A1162" s="1">
        <v>45887</v>
      </c>
      <c r="B1162" s="2">
        <v>10070</v>
      </c>
      <c r="C1162" s="4">
        <f>(WMT_data[[#This Row],[Último]]/B1161)-1</f>
        <v>6.9999999999998952E-3</v>
      </c>
    </row>
    <row r="1163" spans="1:3" x14ac:dyDescent="0.25">
      <c r="A1163" s="1">
        <v>45888</v>
      </c>
      <c r="B1163" s="2">
        <v>10129</v>
      </c>
      <c r="C1163" s="4">
        <f>(WMT_data[[#This Row],[Último]]/B1162)-1</f>
        <v>5.8589870903673624E-3</v>
      </c>
    </row>
    <row r="1164" spans="1:3" x14ac:dyDescent="0.25">
      <c r="A1164" s="1">
        <v>45889</v>
      </c>
      <c r="B1164" s="2">
        <v>10257</v>
      </c>
      <c r="C1164" s="4">
        <f>(WMT_data[[#This Row],[Último]]/B1163)-1</f>
        <v>1.2636982920327666E-2</v>
      </c>
    </row>
    <row r="1165" spans="1:3" x14ac:dyDescent="0.25">
      <c r="A1165" s="1">
        <v>45890</v>
      </c>
      <c r="B1165" s="2">
        <v>9796</v>
      </c>
      <c r="C1165" s="4">
        <f>(WMT_data[[#This Row],[Último]]/B1164)-1</f>
        <v>-4.494491566734915E-2</v>
      </c>
    </row>
    <row r="1166" spans="1:3" x14ac:dyDescent="0.25">
      <c r="A1166" s="1">
        <v>45891</v>
      </c>
      <c r="B1166" s="2">
        <v>9683</v>
      </c>
      <c r="C1166" s="4">
        <f>(WMT_data[[#This Row],[Último]]/B1165)-1</f>
        <v>-1.153532053899553E-2</v>
      </c>
    </row>
    <row r="1167" spans="1:3" x14ac:dyDescent="0.25">
      <c r="A1167" s="1">
        <v>45894</v>
      </c>
      <c r="B1167" s="2">
        <v>9607</v>
      </c>
      <c r="C1167" s="4">
        <f>(WMT_data[[#This Row],[Último]]/B1166)-1</f>
        <v>-7.848807187854967E-3</v>
      </c>
    </row>
    <row r="1168" spans="1:3" x14ac:dyDescent="0.25">
      <c r="A1168" s="1">
        <v>45895</v>
      </c>
      <c r="B1168" s="2">
        <v>9605</v>
      </c>
      <c r="C1168" s="4">
        <f>(WMT_data[[#This Row],[Último]]/B1167)-1</f>
        <v>-2.081815342979132E-4</v>
      </c>
    </row>
    <row r="1169" spans="1:3" x14ac:dyDescent="0.25">
      <c r="A1169" s="1">
        <v>45896</v>
      </c>
      <c r="B1169" s="2">
        <v>9608</v>
      </c>
      <c r="C1169" s="4">
        <f>(WMT_data[[#This Row],[Último]]/B1168)-1</f>
        <v>3.1233732431035222E-4</v>
      </c>
    </row>
    <row r="1170" spans="1:3" x14ac:dyDescent="0.25">
      <c r="A1170" s="1">
        <v>45897</v>
      </c>
      <c r="B1170" s="2">
        <v>9611</v>
      </c>
      <c r="C1170" s="4">
        <f>(WMT_data[[#This Row],[Último]]/B1169)-1</f>
        <v>3.1223980016648056E-4</v>
      </c>
    </row>
    <row r="1171" spans="1:3" x14ac:dyDescent="0.25">
      <c r="A1171" s="1">
        <v>45898</v>
      </c>
      <c r="B1171" s="2">
        <v>9698</v>
      </c>
      <c r="C1171" s="4">
        <f>(WMT_data[[#This Row],[Último]]/B1170)-1</f>
        <v>9.0521277702633185E-3</v>
      </c>
    </row>
    <row r="1172" spans="1:3" x14ac:dyDescent="0.25">
      <c r="A1172" s="1">
        <v>45902</v>
      </c>
      <c r="B1172" s="2">
        <v>9785</v>
      </c>
      <c r="C1172" s="4">
        <f>(WMT_data[[#This Row],[Último]]/B1171)-1</f>
        <v>8.9709218395546131E-3</v>
      </c>
    </row>
    <row r="1173" spans="1:3" x14ac:dyDescent="0.25">
      <c r="A1173" s="1">
        <v>45903</v>
      </c>
      <c r="B1173" s="2">
        <v>9944</v>
      </c>
      <c r="C1173" s="4">
        <f>(WMT_data[[#This Row],[Último]]/B1172)-1</f>
        <v>1.6249361267245854E-2</v>
      </c>
    </row>
    <row r="1174" spans="1:3" x14ac:dyDescent="0.25">
      <c r="A1174" s="1">
        <v>45904</v>
      </c>
      <c r="B1174" s="2">
        <v>10093</v>
      </c>
      <c r="C1174" s="4">
        <f>(WMT_data[[#This Row],[Último]]/B1173)-1</f>
        <v>1.4983909895414316E-2</v>
      </c>
    </row>
    <row r="1175" spans="1:3" x14ac:dyDescent="0.25">
      <c r="A1175" s="1">
        <v>45905</v>
      </c>
      <c r="B1175" s="2">
        <v>10051</v>
      </c>
      <c r="C1175" s="4">
        <f>(WMT_data[[#This Row],[Último]]/B1174)-1</f>
        <v>-4.1612999108292525E-3</v>
      </c>
    </row>
    <row r="1176" spans="1:3" x14ac:dyDescent="0.25">
      <c r="A1176" s="1">
        <v>45908</v>
      </c>
      <c r="B1176" s="2">
        <v>10228</v>
      </c>
      <c r="C1176" s="4">
        <f>(WMT_data[[#This Row],[Último]]/B1175)-1</f>
        <v>1.7610188040990904E-2</v>
      </c>
    </row>
    <row r="1177" spans="1:3" x14ac:dyDescent="0.25">
      <c r="A1177" s="1">
        <v>45909</v>
      </c>
      <c r="B1177" s="2">
        <v>10229</v>
      </c>
      <c r="C1177" s="4">
        <f>(WMT_data[[#This Row],[Último]]/B1176)-1</f>
        <v>9.7770825185694576E-5</v>
      </c>
    </row>
    <row r="1178" spans="1:3" x14ac:dyDescent="0.25">
      <c r="A1178" s="1">
        <v>45910</v>
      </c>
      <c r="B1178" s="2">
        <v>10041</v>
      </c>
      <c r="C1178" s="4">
        <f>(WMT_data[[#This Row],[Último]]/B1177)-1</f>
        <v>-1.8379118193371791E-2</v>
      </c>
    </row>
    <row r="1179" spans="1:3" x14ac:dyDescent="0.25">
      <c r="A1179" s="1">
        <v>45911</v>
      </c>
      <c r="B1179" s="2">
        <v>10265</v>
      </c>
      <c r="C1179" s="4">
        <f>(WMT_data[[#This Row],[Último]]/B1178)-1</f>
        <v>2.2308535006473562E-2</v>
      </c>
    </row>
    <row r="1180" spans="1:3" x14ac:dyDescent="0.25">
      <c r="A1180" s="1">
        <v>45912</v>
      </c>
      <c r="B1180" s="2">
        <v>10349</v>
      </c>
      <c r="C1180" s="4">
        <f>(WMT_data[[#This Row],[Último]]/B1179)-1</f>
        <v>8.1831466147102017E-3</v>
      </c>
    </row>
    <row r="1181" spans="1:3" x14ac:dyDescent="0.25">
      <c r="A1181" s="1">
        <v>45915</v>
      </c>
      <c r="B1181" s="2">
        <v>10369</v>
      </c>
      <c r="C1181" s="4">
        <f>(WMT_data[[#This Row],[Último]]/B1180)-1</f>
        <v>1.9325538699390687E-3</v>
      </c>
    </row>
    <row r="1182" spans="1:3" x14ac:dyDescent="0.25">
      <c r="A1182" s="1">
        <v>45916</v>
      </c>
      <c r="B1182" s="2">
        <v>10342</v>
      </c>
      <c r="C1182" s="4">
        <f>(WMT_data[[#This Row],[Último]]/B1181)-1</f>
        <v>-2.6039155174076845E-3</v>
      </c>
    </row>
    <row r="1183" spans="1:3" x14ac:dyDescent="0.25">
      <c r="A1183" s="1">
        <v>45917</v>
      </c>
      <c r="B1183" s="2">
        <v>10427</v>
      </c>
      <c r="C1183" s="4">
        <f>(WMT_data[[#This Row],[Último]]/B1182)-1</f>
        <v>8.218913169599773E-3</v>
      </c>
    </row>
    <row r="1184" spans="1:3" x14ac:dyDescent="0.25">
      <c r="A1184" s="1">
        <v>45918</v>
      </c>
      <c r="B1184" s="2">
        <v>10360</v>
      </c>
      <c r="C1184" s="4">
        <f>(WMT_data[[#This Row],[Último]]/B1183)-1</f>
        <v>-6.4256257792270066E-3</v>
      </c>
    </row>
    <row r="1185" spans="1:3" x14ac:dyDescent="0.25">
      <c r="A1185" s="1">
        <v>45919</v>
      </c>
      <c r="B1185" s="2">
        <v>10233</v>
      </c>
      <c r="C1185" s="4">
        <f>(WMT_data[[#This Row],[Último]]/B1184)-1</f>
        <v>-1.2258687258687284E-2</v>
      </c>
    </row>
    <row r="1186" spans="1:3" x14ac:dyDescent="0.25">
      <c r="A1186" s="1">
        <v>45922</v>
      </c>
      <c r="B1186" s="2">
        <v>10282</v>
      </c>
      <c r="C1186" s="4">
        <f>(WMT_data[[#This Row],[Último]]/B1185)-1</f>
        <v>4.7884295905404883E-3</v>
      </c>
    </row>
    <row r="1187" spans="1:3" x14ac:dyDescent="0.25">
      <c r="A1187" s="1">
        <v>45923</v>
      </c>
      <c r="B1187" s="2">
        <v>10252</v>
      </c>
      <c r="C1187" s="4">
        <f>(WMT_data[[#This Row],[Último]]/B1186)-1</f>
        <v>-2.917720287881731E-3</v>
      </c>
    </row>
    <row r="1188" spans="1:3" x14ac:dyDescent="0.25">
      <c r="A1188" s="1">
        <v>45924</v>
      </c>
      <c r="B1188" s="2">
        <v>10273</v>
      </c>
      <c r="C1188" s="4">
        <f>(WMT_data[[#This Row],[Último]]/B1187)-1</f>
        <v>2.0483808037456974E-3</v>
      </c>
    </row>
    <row r="1189" spans="1:3" x14ac:dyDescent="0.25">
      <c r="A1189" s="1">
        <v>45925</v>
      </c>
      <c r="B1189" s="2">
        <v>10305</v>
      </c>
      <c r="C1189" s="4">
        <f>(WMT_data[[#This Row],[Último]]/B1188)-1</f>
        <v>3.1149615496932626E-3</v>
      </c>
    </row>
    <row r="1190" spans="1:3" x14ac:dyDescent="0.25">
      <c r="A1190" s="1">
        <v>45926</v>
      </c>
      <c r="B1190" s="2">
        <v>10316</v>
      </c>
      <c r="C1190" s="4">
        <f>(WMT_data[[#This Row],[Último]]/B1189)-1</f>
        <v>1.067442988840428E-3</v>
      </c>
    </row>
    <row r="1191" spans="1:3" x14ac:dyDescent="0.25">
      <c r="A1191" s="1">
        <v>45929</v>
      </c>
      <c r="B1191" s="2">
        <v>10308</v>
      </c>
      <c r="C1191" s="4">
        <f>(WMT_data[[#This Row],[Último]]/B1190)-1</f>
        <v>-7.7549437766577523E-4</v>
      </c>
    </row>
    <row r="1192" spans="1:3" x14ac:dyDescent="0.25">
      <c r="A1192" s="1">
        <v>45930</v>
      </c>
      <c r="B1192" s="2">
        <v>10306</v>
      </c>
      <c r="C1192" s="4">
        <f>(WMT_data[[#This Row],[Último]]/B1191)-1</f>
        <v>-1.9402405898327757E-4</v>
      </c>
    </row>
    <row r="1193" spans="1:3" x14ac:dyDescent="0.25">
      <c r="A1193" s="1">
        <v>45931</v>
      </c>
      <c r="B1193" s="2">
        <v>10196</v>
      </c>
      <c r="C1193" s="4">
        <f>(WMT_data[[#This Row],[Último]]/B1192)-1</f>
        <v>-1.0673394139336323E-2</v>
      </c>
    </row>
    <row r="1194" spans="1:3" x14ac:dyDescent="0.25">
      <c r="A1194" s="1">
        <v>45932</v>
      </c>
      <c r="B1194" s="2">
        <v>10170</v>
      </c>
      <c r="C1194" s="4">
        <f>(WMT_data[[#This Row],[Último]]/B1193)-1</f>
        <v>-2.5500196155354704E-3</v>
      </c>
    </row>
    <row r="1195" spans="1:3" x14ac:dyDescent="0.25">
      <c r="A1195" s="1">
        <v>45933</v>
      </c>
      <c r="B1195" s="2">
        <v>10207</v>
      </c>
      <c r="C1195" s="4">
        <f>(WMT_data[[#This Row],[Último]]/B1194)-1</f>
        <v>3.6381514257619596E-3</v>
      </c>
    </row>
    <row r="1196" spans="1:3" x14ac:dyDescent="0.25">
      <c r="A1196" s="1">
        <v>45936</v>
      </c>
      <c r="B1196" s="2">
        <v>10270</v>
      </c>
      <c r="C1196" s="4">
        <f>(WMT_data[[#This Row],[Último]]/B1195)-1</f>
        <v>6.1722347408641465E-3</v>
      </c>
    </row>
    <row r="1197" spans="1:3" x14ac:dyDescent="0.25">
      <c r="A1197" s="1">
        <v>45937</v>
      </c>
      <c r="B1197" s="2">
        <v>10324</v>
      </c>
      <c r="C1197" s="4">
        <f>(WMT_data[[#This Row],[Último]]/B1196)-1</f>
        <v>5.2580331061342633E-3</v>
      </c>
    </row>
    <row r="1198" spans="1:3" x14ac:dyDescent="0.25">
      <c r="A1198" s="1">
        <v>45938</v>
      </c>
      <c r="B1198" s="2">
        <v>10290</v>
      </c>
      <c r="C1198" s="4">
        <f>(WMT_data[[#This Row],[Último]]/B1197)-1</f>
        <v>-3.2932971716389536E-3</v>
      </c>
    </row>
    <row r="1199" spans="1:3" x14ac:dyDescent="0.25">
      <c r="A1199" s="1">
        <v>45939</v>
      </c>
      <c r="B1199" s="2">
        <v>10177</v>
      </c>
      <c r="C1199" s="4">
        <f>(WMT_data[[#This Row],[Último]]/B1198)-1</f>
        <v>-1.0981535471331405E-2</v>
      </c>
    </row>
    <row r="1200" spans="1:3" x14ac:dyDescent="0.25">
      <c r="A1200" s="1">
        <v>45940</v>
      </c>
      <c r="B1200" s="2">
        <v>10184</v>
      </c>
      <c r="C1200" s="4">
        <f>(WMT_data[[#This Row],[Último]]/B1199)-1</f>
        <v>6.8782548884738226E-4</v>
      </c>
    </row>
    <row r="1201" spans="1:3" x14ac:dyDescent="0.25">
      <c r="A1201" s="1">
        <v>45943</v>
      </c>
      <c r="B1201" s="2">
        <v>10212</v>
      </c>
      <c r="C1201" s="4">
        <f>(WMT_data[[#This Row],[Último]]/B1200)-1</f>
        <v>2.74941084053415E-3</v>
      </c>
    </row>
    <row r="1202" spans="1:3" x14ac:dyDescent="0.25">
      <c r="A1202" s="1">
        <v>45944</v>
      </c>
      <c r="B1202" s="2">
        <v>10721</v>
      </c>
      <c r="C1202" s="4">
        <f>(WMT_data[[#This Row],[Último]]/B1201)-1</f>
        <v>4.9843321582452083E-2</v>
      </c>
    </row>
    <row r="1203" spans="1:3" x14ac:dyDescent="0.25">
      <c r="A1203" s="1">
        <v>45945</v>
      </c>
      <c r="B1203" s="2">
        <v>10903</v>
      </c>
      <c r="C1203" s="4">
        <f>(WMT_data[[#This Row],[Último]]/B1202)-1</f>
        <v>1.6976028355563777E-2</v>
      </c>
    </row>
    <row r="1204" spans="1:3" x14ac:dyDescent="0.25">
      <c r="A1204" s="1">
        <v>45946</v>
      </c>
      <c r="B1204" s="2">
        <v>10647</v>
      </c>
      <c r="C1204" s="4">
        <f>(WMT_data[[#This Row],[Último]]/B1203)-1</f>
        <v>-2.3479776208383041E-2</v>
      </c>
    </row>
    <row r="1205" spans="1:3" x14ac:dyDescent="0.25">
      <c r="A1205" s="1">
        <v>45947</v>
      </c>
      <c r="B1205" s="2">
        <v>10773</v>
      </c>
      <c r="C1205" s="4">
        <f>(WMT_data[[#This Row],[Último]]/B1204)-1</f>
        <v>1.1834319526627279E-2</v>
      </c>
    </row>
    <row r="1206" spans="1:3" x14ac:dyDescent="0.25">
      <c r="A1206" s="1">
        <v>45950</v>
      </c>
      <c r="B1206" s="2">
        <v>10705</v>
      </c>
      <c r="C1206" s="4">
        <f>(WMT_data[[#This Row],[Último]]/B1205)-1</f>
        <v>-6.3120764875150837E-3</v>
      </c>
    </row>
    <row r="1207" spans="1:3" x14ac:dyDescent="0.25">
      <c r="A1207" s="1">
        <v>45951</v>
      </c>
      <c r="B1207" s="2">
        <v>10622</v>
      </c>
      <c r="C1207" s="4">
        <f>(WMT_data[[#This Row],[Último]]/B1206)-1</f>
        <v>-7.7533862680990717E-3</v>
      </c>
    </row>
    <row r="1208" spans="1:3" x14ac:dyDescent="0.25">
      <c r="A1208" s="1">
        <v>45952</v>
      </c>
      <c r="B1208" s="2">
        <v>10714</v>
      </c>
      <c r="C1208" s="4">
        <f>(WMT_data[[#This Row],[Último]]/B1207)-1</f>
        <v>8.6612690642062784E-3</v>
      </c>
    </row>
    <row r="1209" spans="1:3" x14ac:dyDescent="0.25">
      <c r="A1209" s="1">
        <v>45953</v>
      </c>
      <c r="B1209" s="2">
        <v>10686</v>
      </c>
      <c r="C1209" s="4">
        <f>(WMT_data[[#This Row],[Último]]/B1208)-1</f>
        <v>-2.6134030240806405E-3</v>
      </c>
    </row>
    <row r="1210" spans="1:3" x14ac:dyDescent="0.25">
      <c r="A1210" s="1">
        <v>45954</v>
      </c>
      <c r="B1210" s="2">
        <v>10617</v>
      </c>
      <c r="C1210" s="4">
        <f>(WMT_data[[#This Row],[Último]]/B1209)-1</f>
        <v>-6.457046603032035E-3</v>
      </c>
    </row>
    <row r="1211" spans="1:3" x14ac:dyDescent="0.25">
      <c r="A1211" s="1">
        <v>45957</v>
      </c>
      <c r="B1211" s="2">
        <v>10447</v>
      </c>
      <c r="C1211" s="4">
        <f>(WMT_data[[#This Row],[Último]]/B1210)-1</f>
        <v>-1.6012056136385011E-2</v>
      </c>
    </row>
    <row r="1212" spans="1:3" x14ac:dyDescent="0.25">
      <c r="A1212" s="1">
        <v>45958</v>
      </c>
      <c r="B1212" s="2">
        <v>10317</v>
      </c>
      <c r="C1212" s="4">
        <f>(WMT_data[[#This Row],[Último]]/B1211)-1</f>
        <v>-1.2443763759931059E-2</v>
      </c>
    </row>
    <row r="1213" spans="1:3" x14ac:dyDescent="0.25">
      <c r="A1213" s="1">
        <v>45959</v>
      </c>
      <c r="B1213" s="2">
        <v>10246</v>
      </c>
      <c r="C1213" s="4">
        <f>(WMT_data[[#This Row],[Último]]/B1212)-1</f>
        <v>-6.8818454977221943E-3</v>
      </c>
    </row>
    <row r="1214" spans="1:3" x14ac:dyDescent="0.25">
      <c r="A1214" s="1">
        <v>45960</v>
      </c>
      <c r="B1214" s="2">
        <v>10223</v>
      </c>
      <c r="C1214" s="4">
        <f>(WMT_data[[#This Row],[Último]]/B1213)-1</f>
        <v>-2.2447784501268275E-3</v>
      </c>
    </row>
    <row r="1215" spans="1:3" x14ac:dyDescent="0.25">
      <c r="A1215" s="1">
        <v>45961</v>
      </c>
      <c r="B1215" s="2">
        <v>10118</v>
      </c>
      <c r="C1215" s="4">
        <f>(WMT_data[[#This Row],[Último]]/B1214)-1</f>
        <v>-1.0270957644527012E-2</v>
      </c>
    </row>
    <row r="1216" spans="1:3" x14ac:dyDescent="0.25">
      <c r="A1216" s="1">
        <v>45964</v>
      </c>
      <c r="B1216" s="2">
        <v>10159</v>
      </c>
      <c r="C1216" s="4">
        <f>(WMT_data[[#This Row],[Último]]/B1215)-1</f>
        <v>4.0521842261316277E-3</v>
      </c>
    </row>
    <row r="1217" spans="1:3" x14ac:dyDescent="0.25">
      <c r="A1217" s="1">
        <v>45965</v>
      </c>
      <c r="B1217" s="2">
        <v>10227</v>
      </c>
      <c r="C1217" s="4">
        <f>(WMT_data[[#This Row],[Último]]/B1216)-1</f>
        <v>6.6935722019882959E-3</v>
      </c>
    </row>
    <row r="1218" spans="1:3" x14ac:dyDescent="0.25">
      <c r="A1218" s="1">
        <v>45966</v>
      </c>
      <c r="B1218" s="2">
        <v>10147</v>
      </c>
      <c r="C1218" s="4">
        <f>(WMT_data[[#This Row],[Último]]/B1217)-1</f>
        <v>-7.8224308203774795E-3</v>
      </c>
    </row>
    <row r="1219" spans="1:3" x14ac:dyDescent="0.25">
      <c r="A1219" s="1">
        <v>45967</v>
      </c>
      <c r="B1219" s="2">
        <v>10168</v>
      </c>
      <c r="C1219" s="4">
        <f>(WMT_data[[#This Row],[Último]]/B1218)-1</f>
        <v>2.0695772149403879E-3</v>
      </c>
    </row>
    <row r="1220" spans="1:3" x14ac:dyDescent="0.25">
      <c r="A1220" s="1">
        <v>45968</v>
      </c>
      <c r="B1220" s="2">
        <v>10259</v>
      </c>
      <c r="C1220" s="4">
        <f>(WMT_data[[#This Row],[Último]]/B1219)-1</f>
        <v>8.9496459480724599E-3</v>
      </c>
    </row>
    <row r="1221" spans="1:3" x14ac:dyDescent="0.25">
      <c r="A1221" s="1">
        <v>45971</v>
      </c>
      <c r="B1221" s="2">
        <v>10242</v>
      </c>
      <c r="C1221" s="4">
        <f>(WMT_data[[#This Row],[Último]]/B1220)-1</f>
        <v>-1.6570815868992561E-3</v>
      </c>
    </row>
    <row r="1222" spans="1:3" x14ac:dyDescent="0.25">
      <c r="A1222" s="1">
        <v>45972</v>
      </c>
      <c r="B1222" s="2">
        <v>10344</v>
      </c>
      <c r="C1222" s="4">
        <f>(WMT_data[[#This Row],[Último]]/B1221)-1</f>
        <v>9.9589923842999806E-3</v>
      </c>
    </row>
    <row r="1223" spans="1:3" x14ac:dyDescent="0.25">
      <c r="A1223" s="1">
        <v>45973</v>
      </c>
      <c r="B1223" s="2">
        <v>10344</v>
      </c>
      <c r="C1223" s="4">
        <f>(WMT_data[[#This Row],[Último]]/B1222)-1</f>
        <v>0</v>
      </c>
    </row>
    <row r="1224" spans="1:3" x14ac:dyDescent="0.25">
      <c r="A1224" s="1">
        <v>45974</v>
      </c>
      <c r="B1224" s="2">
        <v>10254</v>
      </c>
      <c r="C1224" s="4">
        <f>(WMT_data[[#This Row],[Último]]/B1223)-1</f>
        <v>-8.7006960556844648E-3</v>
      </c>
    </row>
    <row r="1225" spans="1:3" x14ac:dyDescent="0.25">
      <c r="A1225" s="1">
        <v>45975</v>
      </c>
      <c r="B1225" s="2">
        <v>10248</v>
      </c>
      <c r="C1225" s="4">
        <f>(WMT_data[[#This Row],[Último]]/B1224)-1</f>
        <v>-5.8513750731425951E-4</v>
      </c>
    </row>
    <row r="1226" spans="1:3" x14ac:dyDescent="0.25">
      <c r="A1226" s="1">
        <v>45978</v>
      </c>
      <c r="B1226" s="2">
        <v>10295</v>
      </c>
      <c r="C1226" s="4">
        <f>(WMT_data[[#This Row],[Último]]/B1225)-1</f>
        <v>4.5862607338016392E-3</v>
      </c>
    </row>
    <row r="1227" spans="1:3" x14ac:dyDescent="0.25">
      <c r="A1227" s="1">
        <v>45979</v>
      </c>
      <c r="B1227" s="2">
        <v>10139</v>
      </c>
      <c r="C1227" s="4">
        <f>(WMT_data[[#This Row],[Último]]/B1226)-1</f>
        <v>-1.5152986886838304E-2</v>
      </c>
    </row>
    <row r="1228" spans="1:3" x14ac:dyDescent="0.25">
      <c r="A1228" s="1">
        <v>45980</v>
      </c>
      <c r="B1228" s="2">
        <v>10061</v>
      </c>
      <c r="C1228" s="4">
        <f>(WMT_data[[#This Row],[Último]]/B1227)-1</f>
        <v>-7.6930663773547847E-3</v>
      </c>
    </row>
    <row r="1229" spans="1:3" x14ac:dyDescent="0.25">
      <c r="A1229" s="1">
        <v>45981</v>
      </c>
      <c r="B1229" s="2">
        <v>10711</v>
      </c>
      <c r="C1229" s="4">
        <f>(WMT_data[[#This Row],[Último]]/B1228)-1</f>
        <v>6.4605903985687219E-2</v>
      </c>
    </row>
    <row r="1230" spans="1:3" x14ac:dyDescent="0.25">
      <c r="A1230" s="1">
        <v>45982</v>
      </c>
      <c r="B1230" s="2">
        <v>10532</v>
      </c>
      <c r="C1230" s="4">
        <f>(WMT_data[[#This Row],[Último]]/B1229)-1</f>
        <v>-1.6711791616095595E-2</v>
      </c>
    </row>
    <row r="1231" spans="1:3" x14ac:dyDescent="0.25">
      <c r="A1231" s="1">
        <v>45985</v>
      </c>
      <c r="B1231" s="2">
        <v>10406</v>
      </c>
      <c r="C1231" s="4">
        <f>(WMT_data[[#This Row],[Último]]/B1230)-1</f>
        <v>-1.1963539688568225E-2</v>
      </c>
    </row>
    <row r="1232" spans="1:3" x14ac:dyDescent="0.25">
      <c r="A1232" s="1">
        <v>45986</v>
      </c>
      <c r="B1232" s="2">
        <v>10700</v>
      </c>
      <c r="C1232" s="4">
        <f>(WMT_data[[#This Row],[Último]]/B1231)-1</f>
        <v>2.8252931001345294E-2</v>
      </c>
    </row>
    <row r="1233" spans="1:3" x14ac:dyDescent="0.25">
      <c r="A1233" s="1">
        <v>45987</v>
      </c>
      <c r="B1233" s="2">
        <v>10910</v>
      </c>
      <c r="C1233" s="4">
        <f>(WMT_data[[#This Row],[Último]]/B1232)-1</f>
        <v>1.9626168224299079E-2</v>
      </c>
    </row>
    <row r="1234" spans="1:3" x14ac:dyDescent="0.25">
      <c r="A1234" s="1">
        <v>45989</v>
      </c>
      <c r="B1234" s="2">
        <v>11051</v>
      </c>
      <c r="C1234" s="4">
        <f>(WMT_data[[#This Row],[Último]]/B1233)-1</f>
        <v>1.2923923006416205E-2</v>
      </c>
    </row>
    <row r="1235" spans="1:3" x14ac:dyDescent="0.25">
      <c r="A1235" s="1">
        <v>45992</v>
      </c>
      <c r="B1235" s="2">
        <v>11153</v>
      </c>
      <c r="C1235" s="4">
        <f>(WMT_data[[#This Row],[Último]]/B1234)-1</f>
        <v>9.229933942629609E-3</v>
      </c>
    </row>
    <row r="1236" spans="1:3" x14ac:dyDescent="0.25">
      <c r="A1236" s="1">
        <v>45993</v>
      </c>
      <c r="B1236" s="2">
        <v>11241</v>
      </c>
      <c r="C1236" s="4">
        <f>(WMT_data[[#This Row],[Último]]/B1235)-1</f>
        <v>7.8902537433873654E-3</v>
      </c>
    </row>
    <row r="1237" spans="1:3" x14ac:dyDescent="0.25">
      <c r="A1237" s="1">
        <v>45994</v>
      </c>
      <c r="B1237" s="2">
        <v>11441</v>
      </c>
      <c r="C1237" s="4">
        <f>(WMT_data[[#This Row],[Último]]/B1236)-1</f>
        <v>1.7792011386887241E-2</v>
      </c>
    </row>
    <row r="1238" spans="1:3" x14ac:dyDescent="0.25">
      <c r="A1238" s="1">
        <v>45995</v>
      </c>
      <c r="B1238" s="2">
        <v>11484</v>
      </c>
      <c r="C1238" s="4">
        <f>(WMT_data[[#This Row],[Último]]/B1237)-1</f>
        <v>3.7584127261602873E-3</v>
      </c>
    </row>
    <row r="1239" spans="1:3" x14ac:dyDescent="0.25">
      <c r="A1239" s="1">
        <v>45996</v>
      </c>
      <c r="B1239" s="2">
        <v>11511</v>
      </c>
      <c r="C1239" s="4">
        <f>(WMT_data[[#This Row],[Último]]/B1238)-1</f>
        <v>2.3510971786833146E-3</v>
      </c>
    </row>
    <row r="1240" spans="1:3" x14ac:dyDescent="0.25">
      <c r="A1240" s="1">
        <v>45999</v>
      </c>
      <c r="B1240" s="2">
        <v>11356</v>
      </c>
      <c r="C1240" s="4">
        <f>(WMT_data[[#This Row],[Último]]/B1239)-1</f>
        <v>-1.3465380939970517E-2</v>
      </c>
    </row>
    <row r="1241" spans="1:3" x14ac:dyDescent="0.25">
      <c r="A1241" s="1">
        <v>46000</v>
      </c>
      <c r="B1241" s="2">
        <v>11506</v>
      </c>
      <c r="C1241" s="4">
        <f>(WMT_data[[#This Row],[Último]]/B1240)-1</f>
        <v>1.3208876364917188E-2</v>
      </c>
    </row>
    <row r="1242" spans="1:3" x14ac:dyDescent="0.25">
      <c r="A1242" s="1">
        <v>46001</v>
      </c>
      <c r="B1242" s="2">
        <v>11318</v>
      </c>
      <c r="C1242" s="4">
        <f>(WMT_data[[#This Row],[Último]]/B1241)-1</f>
        <v>-1.6339301234138737E-2</v>
      </c>
    </row>
    <row r="1243" spans="1:3" x14ac:dyDescent="0.25">
      <c r="A1243" s="1">
        <v>46002</v>
      </c>
      <c r="B1243" s="2">
        <v>11552</v>
      </c>
      <c r="C1243" s="4">
        <f>(WMT_data[[#This Row],[Último]]/B1242)-1</f>
        <v>2.0675030924191651E-2</v>
      </c>
    </row>
    <row r="1244" spans="1:3" x14ac:dyDescent="0.25">
      <c r="A1244" s="1">
        <v>46003</v>
      </c>
      <c r="B1244" s="2">
        <v>11670</v>
      </c>
      <c r="C1244" s="4">
        <f>(WMT_data[[#This Row],[Último]]/B1243)-1</f>
        <v>1.021468144044313E-2</v>
      </c>
    </row>
    <row r="1245" spans="1:3" x14ac:dyDescent="0.25">
      <c r="A1245" s="1">
        <v>46006</v>
      </c>
      <c r="B1245" s="2">
        <v>11679</v>
      </c>
      <c r="C1245" s="4">
        <f>(WMT_data[[#This Row],[Último]]/B1244)-1</f>
        <v>7.712082262210096E-4</v>
      </c>
    </row>
    <row r="1246" spans="1:3" x14ac:dyDescent="0.25">
      <c r="A1246" s="1">
        <v>46007</v>
      </c>
      <c r="B1246" s="2">
        <v>11542</v>
      </c>
      <c r="C1246" s="4">
        <f>(WMT_data[[#This Row],[Último]]/B1245)-1</f>
        <v>-1.1730456374689613E-2</v>
      </c>
    </row>
    <row r="1247" spans="1:3" x14ac:dyDescent="0.25">
      <c r="A1247" s="1">
        <v>46008</v>
      </c>
      <c r="B1247" s="2">
        <v>11566</v>
      </c>
      <c r="C1247" s="4">
        <f>(WMT_data[[#This Row],[Último]]/B1246)-1</f>
        <v>2.0793623288857255E-3</v>
      </c>
    </row>
    <row r="1248" spans="1:3" x14ac:dyDescent="0.25">
      <c r="A1248" s="1">
        <v>46009</v>
      </c>
      <c r="B1248" s="2">
        <v>11483</v>
      </c>
      <c r="C1248" s="4">
        <f>(WMT_data[[#This Row],[Último]]/B1247)-1</f>
        <v>-7.1762061213902495E-3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7BC6-6B12-42F0-BB1A-D0AFACA7F0E6}">
  <dimension ref="A1:E5"/>
  <sheetViews>
    <sheetView tabSelected="1" workbookViewId="0">
      <selection activeCell="G8" sqref="G8"/>
    </sheetView>
  </sheetViews>
  <sheetFormatPr baseColWidth="10" defaultRowHeight="15" x14ac:dyDescent="0.25"/>
  <cols>
    <col min="3" max="3" width="11.7109375" bestFit="1" customWidth="1"/>
  </cols>
  <sheetData>
    <row r="1" spans="1:5" x14ac:dyDescent="0.25">
      <c r="A1" s="12"/>
      <c r="B1" s="12" t="str" cm="1">
        <f t="array" ref="B1:E1">TRANSPOSE(A2:A5)</f>
        <v>GDX</v>
      </c>
      <c r="C1" s="12" t="str">
        <v>NVDA</v>
      </c>
      <c r="D1" s="12" t="str">
        <v>VOO</v>
      </c>
      <c r="E1" s="12" t="str">
        <v>WMT</v>
      </c>
    </row>
    <row r="2" spans="1:5" x14ac:dyDescent="0.25">
      <c r="A2" s="10" t="s">
        <v>8</v>
      </c>
      <c r="B2" s="10">
        <v>1</v>
      </c>
      <c r="C2" s="10" cm="1">
        <f t="array" ref="C2:E2">TRANSPOSE(B3:B5)</f>
        <v>9.4292926310998327E-3</v>
      </c>
      <c r="D2" s="10">
        <v>0.31046080637761125</v>
      </c>
      <c r="E2" s="10">
        <v>3.7020913973987379E-2</v>
      </c>
    </row>
    <row r="3" spans="1:5" x14ac:dyDescent="0.25">
      <c r="A3" s="10" t="s">
        <v>9</v>
      </c>
      <c r="B3" s="10">
        <v>9.4292926310998327E-3</v>
      </c>
      <c r="C3" s="10">
        <v>1</v>
      </c>
      <c r="D3" s="10" cm="1">
        <f t="array" ref="D3:E3">TRANSPOSE(C4:C5)</f>
        <v>4.2049081376497252E-2</v>
      </c>
      <c r="E3" s="10">
        <v>0.12538288170078643</v>
      </c>
    </row>
    <row r="4" spans="1:5" x14ac:dyDescent="0.25">
      <c r="A4" s="10" t="s">
        <v>10</v>
      </c>
      <c r="B4" s="10">
        <v>0.31046080637761125</v>
      </c>
      <c r="C4" s="10">
        <v>4.2049081376497252E-2</v>
      </c>
      <c r="D4" s="10">
        <v>1</v>
      </c>
      <c r="E4" s="10" cm="1">
        <f t="array" ref="E4">TRANSPOSE(D5)</f>
        <v>7.7000789279590282E-3</v>
      </c>
    </row>
    <row r="5" spans="1:5" ht="15.75" thickBot="1" x14ac:dyDescent="0.3">
      <c r="A5" s="11" t="s">
        <v>11</v>
      </c>
      <c r="B5" s="11">
        <v>3.7020913973987379E-2</v>
      </c>
      <c r="C5" s="11">
        <v>0.12538288170078643</v>
      </c>
      <c r="D5" s="11">
        <v>7.7000789279590282E-3</v>
      </c>
      <c r="E5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12B1-C01E-4D65-83B5-6A1454077085}">
  <dimension ref="A1:D1247"/>
  <sheetViews>
    <sheetView workbookViewId="0">
      <selection activeCell="F7" sqref="F7"/>
    </sheetView>
  </sheetViews>
  <sheetFormatPr baseColWidth="10" defaultRowHeight="15" x14ac:dyDescent="0.25"/>
  <cols>
    <col min="1" max="1" width="13" customWidth="1"/>
    <col min="2" max="2" width="14.140625" customWidth="1"/>
    <col min="3" max="3" width="12.85546875" customWidth="1"/>
    <col min="4" max="4" width="13.42578125" customWidth="1"/>
  </cols>
  <sheetData>
    <row r="1" spans="1:4" x14ac:dyDescent="0.25">
      <c r="A1" s="6" t="s">
        <v>4</v>
      </c>
      <c r="B1" s="7" t="s">
        <v>5</v>
      </c>
      <c r="C1" s="8" t="s">
        <v>6</v>
      </c>
      <c r="D1" s="9" t="s">
        <v>7</v>
      </c>
    </row>
    <row r="2" spans="1:4" x14ac:dyDescent="0.25">
      <c r="A2" s="5">
        <v>-2.596728122565839E-4</v>
      </c>
      <c r="B2" s="5">
        <v>2.2120518688024449E-2</v>
      </c>
      <c r="C2" s="5">
        <v>6.5775890039230234E-3</v>
      </c>
      <c r="D2" s="5">
        <v>-5.3235053235053398E-3</v>
      </c>
    </row>
    <row r="3" spans="1:4" x14ac:dyDescent="0.25">
      <c r="A3" s="5">
        <v>-1.0389610389610615E-3</v>
      </c>
      <c r="B3" s="5">
        <v>-5.8955223880597041E-2</v>
      </c>
      <c r="C3" s="5">
        <v>6.0657563148331928E-3</v>
      </c>
      <c r="D3" s="5">
        <v>6.3812268423220075E-3</v>
      </c>
    </row>
    <row r="4" spans="1:4" x14ac:dyDescent="0.25">
      <c r="A4" s="5">
        <v>-2.3400936037440978E-3</v>
      </c>
      <c r="B4" s="5">
        <v>5.7890563045202237E-2</v>
      </c>
      <c r="C4" s="5">
        <v>1.4941892639734444E-2</v>
      </c>
      <c r="D4" s="5">
        <v>-2.0454080589082935E-4</v>
      </c>
    </row>
    <row r="5" spans="1:4" x14ac:dyDescent="0.25">
      <c r="A5" s="5">
        <v>-4.8214751107636178E-2</v>
      </c>
      <c r="B5" s="5">
        <v>-4.4977511244377322E-3</v>
      </c>
      <c r="C5" s="5">
        <v>5.6247488951386426E-3</v>
      </c>
      <c r="D5" s="5">
        <v>0</v>
      </c>
    </row>
    <row r="6" spans="1:4" x14ac:dyDescent="0.25">
      <c r="A6" s="5">
        <v>-2.0262869660459981E-2</v>
      </c>
      <c r="B6" s="5">
        <v>2.5602409638554313E-2</v>
      </c>
      <c r="C6" s="5">
        <v>-6.5350151247074439E-3</v>
      </c>
      <c r="D6" s="5">
        <v>4.5008183306056715E-3</v>
      </c>
    </row>
    <row r="7" spans="1:4" x14ac:dyDescent="0.25">
      <c r="A7" s="5">
        <v>7.2666294019005928E-3</v>
      </c>
      <c r="B7" s="5">
        <v>-1.027900146842875E-2</v>
      </c>
      <c r="C7" s="5">
        <v>8.6174704851726958E-5</v>
      </c>
      <c r="D7" s="5">
        <v>1.140529531568224E-2</v>
      </c>
    </row>
    <row r="8" spans="1:4" x14ac:dyDescent="0.25">
      <c r="A8" s="5">
        <v>-1.1098779134295245E-2</v>
      </c>
      <c r="B8" s="5">
        <v>3.7091988130564246E-3</v>
      </c>
      <c r="C8" s="5">
        <v>2.4988511029411242E-3</v>
      </c>
      <c r="D8" s="5">
        <v>-1.0269834877164707E-2</v>
      </c>
    </row>
    <row r="9" spans="1:4" x14ac:dyDescent="0.25">
      <c r="A9" s="5">
        <v>-8.4175084175086567E-4</v>
      </c>
      <c r="B9" s="5">
        <v>-2.4390243902439046E-2</v>
      </c>
      <c r="C9" s="5">
        <v>-3.3807982121880631E-3</v>
      </c>
      <c r="D9" s="5">
        <v>-3.2553407934893253E-3</v>
      </c>
    </row>
    <row r="10" spans="1:4" x14ac:dyDescent="0.25">
      <c r="A10" s="5">
        <v>-3.089019938219606E-2</v>
      </c>
      <c r="B10" s="5">
        <v>-2.5757575757575757E-2</v>
      </c>
      <c r="C10" s="5">
        <v>-7.1295098461980899E-3</v>
      </c>
      <c r="D10" s="5">
        <v>-1.5921616656460524E-2</v>
      </c>
    </row>
    <row r="11" spans="1:4" x14ac:dyDescent="0.25">
      <c r="A11" s="5">
        <v>1.0431758910460776E-2</v>
      </c>
      <c r="B11" s="5">
        <v>1.3219284603421366E-2</v>
      </c>
      <c r="C11" s="5">
        <v>7.9045661174972359E-3</v>
      </c>
      <c r="D11" s="5">
        <v>-8.5044596556731467E-3</v>
      </c>
    </row>
    <row r="12" spans="1:4" x14ac:dyDescent="0.25">
      <c r="A12" s="5">
        <v>3.3553197591052575E-2</v>
      </c>
      <c r="B12" s="5">
        <v>2.609363008442056E-2</v>
      </c>
      <c r="C12" s="5">
        <v>1.358804941108871E-2</v>
      </c>
      <c r="D12" s="5">
        <v>1.4644351464435212E-2</v>
      </c>
    </row>
    <row r="13" spans="1:4" x14ac:dyDescent="0.25">
      <c r="A13" s="5">
        <v>-9.1564927857935574E-3</v>
      </c>
      <c r="B13" s="5">
        <v>3.7397157816005944E-2</v>
      </c>
      <c r="C13" s="5">
        <v>9.3529461780450518E-4</v>
      </c>
      <c r="D13" s="5">
        <v>-4.5360824742267658E-3</v>
      </c>
    </row>
    <row r="14" spans="1:4" x14ac:dyDescent="0.25">
      <c r="A14" s="5">
        <v>-1.3441612993559282E-2</v>
      </c>
      <c r="B14" s="5">
        <v>-1.1535688536409516E-2</v>
      </c>
      <c r="C14" s="5">
        <v>-3.5677879714577365E-3</v>
      </c>
      <c r="D14" s="5">
        <v>1.0356255178127549E-2</v>
      </c>
    </row>
    <row r="15" spans="1:4" x14ac:dyDescent="0.25">
      <c r="A15" s="5">
        <v>-1.1353959693443105E-3</v>
      </c>
      <c r="B15" s="5">
        <v>-4.3763676148796948E-3</v>
      </c>
      <c r="C15" s="5">
        <v>4.0636544472860692E-3</v>
      </c>
      <c r="D15" s="5">
        <v>-1.0250102501024871E-3</v>
      </c>
    </row>
    <row r="16" spans="1:4" x14ac:dyDescent="0.25">
      <c r="A16" s="5">
        <v>-2.8417163967036085E-3</v>
      </c>
      <c r="B16" s="5">
        <v>-1.538461538461533E-2</v>
      </c>
      <c r="C16" s="5">
        <v>-1.5000141510769227E-3</v>
      </c>
      <c r="D16" s="5">
        <v>9.0293453724605843E-3</v>
      </c>
    </row>
    <row r="17" spans="1:4" x14ac:dyDescent="0.25">
      <c r="A17" s="5">
        <v>-3.8472499287546258E-2</v>
      </c>
      <c r="B17" s="5">
        <v>-3.8690476190476164E-2</v>
      </c>
      <c r="C17" s="5">
        <v>-2.426303854875278E-2</v>
      </c>
      <c r="D17" s="5">
        <v>-2.481187716087041E-2</v>
      </c>
    </row>
    <row r="18" spans="1:4" x14ac:dyDescent="0.25">
      <c r="A18" s="5">
        <v>2.4896265560165887E-2</v>
      </c>
      <c r="B18" s="5">
        <v>1.0061919504643857E-2</v>
      </c>
      <c r="C18" s="5">
        <v>8.3953056007437521E-3</v>
      </c>
      <c r="D18" s="5">
        <v>-6.2565172054218632E-4</v>
      </c>
    </row>
    <row r="19" spans="1:4" x14ac:dyDescent="0.25">
      <c r="A19" s="5">
        <v>-2.0242914979756721E-3</v>
      </c>
      <c r="B19" s="5">
        <v>-4.5977011494252595E-3</v>
      </c>
      <c r="C19" s="5">
        <v>-2.0021317661971016E-2</v>
      </c>
      <c r="D19" s="5">
        <v>-2.2746243739565908E-2</v>
      </c>
    </row>
    <row r="20" spans="1:4" x14ac:dyDescent="0.25">
      <c r="A20" s="5">
        <v>3.3903216458997409E-2</v>
      </c>
      <c r="B20" s="5">
        <v>1.9245573518090753E-2</v>
      </c>
      <c r="C20" s="5">
        <v>1.6432476923981421E-2</v>
      </c>
      <c r="D20" s="5">
        <v>-8.7550715353406083E-3</v>
      </c>
    </row>
    <row r="21" spans="1:4" x14ac:dyDescent="0.25">
      <c r="A21" s="5">
        <v>-2.97085201793722E-2</v>
      </c>
      <c r="B21" s="5">
        <v>2.4169184290030232E-2</v>
      </c>
      <c r="C21" s="5">
        <v>1.4373716632443578E-2</v>
      </c>
      <c r="D21" s="5">
        <v>1.077121930202507E-2</v>
      </c>
    </row>
    <row r="22" spans="1:4" x14ac:dyDescent="0.25">
      <c r="A22" s="5">
        <v>-2.8885037550552273E-4</v>
      </c>
      <c r="B22" s="5">
        <v>-2.2123893805309214E-3</v>
      </c>
      <c r="C22" s="5">
        <v>9.97890175058469E-4</v>
      </c>
      <c r="D22" s="5">
        <v>3.1969309462915874E-3</v>
      </c>
    </row>
    <row r="23" spans="1:4" x14ac:dyDescent="0.25">
      <c r="A23" s="5">
        <v>-2.2247905229702436E-2</v>
      </c>
      <c r="B23" s="5">
        <v>9.6082779009607489E-3</v>
      </c>
      <c r="C23" s="5">
        <v>1.1193711014269914E-2</v>
      </c>
      <c r="D23" s="5">
        <v>9.3477799022732011E-3</v>
      </c>
    </row>
    <row r="24" spans="1:4" x14ac:dyDescent="0.25">
      <c r="A24" s="5">
        <v>2.275413711583929E-2</v>
      </c>
      <c r="B24" s="5">
        <v>-5.1244509516837899E-3</v>
      </c>
      <c r="C24" s="5">
        <v>3.9997746605824336E-3</v>
      </c>
      <c r="D24" s="5">
        <v>1.2839402231109132E-2</v>
      </c>
    </row>
    <row r="25" spans="1:4" x14ac:dyDescent="0.25">
      <c r="A25" s="5">
        <v>1.7624963883270839E-2</v>
      </c>
      <c r="B25" s="5">
        <v>6.2545989698307602E-2</v>
      </c>
      <c r="C25" s="5">
        <v>7.378520929188559E-3</v>
      </c>
      <c r="D25" s="5">
        <v>4.5719035743974068E-3</v>
      </c>
    </row>
    <row r="26" spans="1:4" x14ac:dyDescent="0.25">
      <c r="A26" s="5">
        <v>-1.1357183418512218E-3</v>
      </c>
      <c r="B26" s="5">
        <v>-1.2465373961218829E-2</v>
      </c>
      <c r="C26" s="5">
        <v>-8.0764196396243548E-4</v>
      </c>
      <c r="D26" s="5">
        <v>5.5854364915184362E-3</v>
      </c>
    </row>
    <row r="27" spans="1:4" x14ac:dyDescent="0.25">
      <c r="A27" s="5">
        <v>2.842524161455362E-3</v>
      </c>
      <c r="B27" s="5">
        <v>3.5063113604488105E-2</v>
      </c>
      <c r="C27" s="5">
        <v>-3.9021127153127111E-4</v>
      </c>
      <c r="D27" s="5">
        <v>-1.1725982308167016E-2</v>
      </c>
    </row>
    <row r="28" spans="1:4" x14ac:dyDescent="0.25">
      <c r="A28" s="5">
        <v>-1.3321995464852576E-2</v>
      </c>
      <c r="B28" s="5">
        <v>3.3197831978319714E-2</v>
      </c>
      <c r="C28" s="5">
        <v>1.6172206111979559E-3</v>
      </c>
      <c r="D28" s="5">
        <v>-6.2447960033307215E-4</v>
      </c>
    </row>
    <row r="29" spans="1:4" x14ac:dyDescent="0.25">
      <c r="A29" s="5">
        <v>-8.6182131571388432E-4</v>
      </c>
      <c r="B29" s="5">
        <v>-1.9016393442622959E-2</v>
      </c>
      <c r="C29" s="5">
        <v>5.0943711374644707E-3</v>
      </c>
      <c r="D29" s="5">
        <v>3.1243490939387719E-3</v>
      </c>
    </row>
    <row r="30" spans="1:4" x14ac:dyDescent="0.25">
      <c r="A30" s="5">
        <v>-1.9838987924094331E-2</v>
      </c>
      <c r="B30" s="5">
        <v>2.4732620320855547E-2</v>
      </c>
      <c r="C30" s="5">
        <v>-9.4169782578590322E-4</v>
      </c>
      <c r="D30" s="5">
        <v>8.0980066445182075E-3</v>
      </c>
    </row>
    <row r="31" spans="1:4" x14ac:dyDescent="0.25">
      <c r="A31" s="5">
        <v>-2.5520680551481378E-2</v>
      </c>
      <c r="B31" s="5">
        <v>-2.7397260273972601E-2</v>
      </c>
      <c r="C31" s="5">
        <v>2.2178481328483102E-4</v>
      </c>
      <c r="D31" s="5">
        <v>1.0710607621009283E-2</v>
      </c>
    </row>
    <row r="32" spans="1:4" x14ac:dyDescent="0.25">
      <c r="A32" s="5">
        <v>-1.294400963275133E-2</v>
      </c>
      <c r="B32" s="5">
        <v>-5.3655264922870538E-3</v>
      </c>
      <c r="C32" s="5">
        <v>-4.2684109870007036E-3</v>
      </c>
      <c r="D32" s="5">
        <v>-6.480538006928882E-2</v>
      </c>
    </row>
    <row r="33" spans="1:4" x14ac:dyDescent="0.25">
      <c r="A33" s="5">
        <v>-1.5248551387617715E-3</v>
      </c>
      <c r="B33" s="5">
        <v>6.7430883344572479E-3</v>
      </c>
      <c r="C33" s="5">
        <v>-1.8371607515658139E-3</v>
      </c>
      <c r="D33" s="5">
        <v>4.7940727827413543E-3</v>
      </c>
    </row>
    <row r="34" spans="1:4" x14ac:dyDescent="0.25">
      <c r="A34" s="5">
        <v>4.4899205864386005E-2</v>
      </c>
      <c r="B34" s="5">
        <v>-3.8178164768921663E-2</v>
      </c>
      <c r="C34" s="5">
        <v>-7.8641345268970486E-3</v>
      </c>
      <c r="D34" s="5">
        <v>-4.5543266102797686E-3</v>
      </c>
    </row>
    <row r="35" spans="1:4" x14ac:dyDescent="0.25">
      <c r="A35" s="5">
        <v>-2.2508038585209E-2</v>
      </c>
      <c r="B35" s="5">
        <v>-1.5320334261838431E-2</v>
      </c>
      <c r="C35" s="5">
        <v>1.2648621300277441E-3</v>
      </c>
      <c r="D35" s="5">
        <v>-1.6122004357298492E-2</v>
      </c>
    </row>
    <row r="36" spans="1:4" x14ac:dyDescent="0.25">
      <c r="A36" s="5">
        <v>7.7751196172248793E-3</v>
      </c>
      <c r="B36" s="5">
        <v>2.5459688826025451E-2</v>
      </c>
      <c r="C36" s="5">
        <v>1.1060580540115605E-2</v>
      </c>
      <c r="D36" s="5">
        <v>-1.6829052258635957E-2</v>
      </c>
    </row>
    <row r="37" spans="1:4" x14ac:dyDescent="0.25">
      <c r="A37" s="5">
        <v>-4.0652818991097961E-2</v>
      </c>
      <c r="B37" s="5">
        <v>-8.206896551724141E-2</v>
      </c>
      <c r="C37" s="5">
        <v>-2.3989338071968014E-2</v>
      </c>
      <c r="D37" s="5">
        <v>-9.4594594594594739E-3</v>
      </c>
    </row>
    <row r="38" spans="1:4" x14ac:dyDescent="0.25">
      <c r="A38" s="5">
        <v>-3.7117228580266004E-2</v>
      </c>
      <c r="B38" s="5">
        <v>3.0052592036063031E-2</v>
      </c>
      <c r="C38" s="5">
        <v>-5.4904415111515226E-3</v>
      </c>
      <c r="D38" s="5">
        <v>-1.5234197362437474E-2</v>
      </c>
    </row>
    <row r="39" spans="1:4" x14ac:dyDescent="0.25">
      <c r="A39" s="5">
        <v>-7.3883713459684808E-3</v>
      </c>
      <c r="B39" s="5">
        <v>9.4821298322391723E-3</v>
      </c>
      <c r="C39" s="5">
        <v>2.44000114419749E-2</v>
      </c>
      <c r="D39" s="5">
        <v>1.1082890787347033E-2</v>
      </c>
    </row>
    <row r="40" spans="1:4" x14ac:dyDescent="0.25">
      <c r="A40" s="5">
        <v>3.4304207119741026E-2</v>
      </c>
      <c r="B40" s="5">
        <v>-3.1069364161849689E-2</v>
      </c>
      <c r="C40" s="5">
        <v>-7.7348374846419876E-3</v>
      </c>
      <c r="D40" s="5">
        <v>-9.5912308746288755E-3</v>
      </c>
    </row>
    <row r="41" spans="1:4" x14ac:dyDescent="0.25">
      <c r="A41" s="5">
        <v>-1.9086357947434296E-2</v>
      </c>
      <c r="B41" s="5">
        <v>-4.5488441461595808E-2</v>
      </c>
      <c r="C41" s="5">
        <v>-1.3198255241311352E-2</v>
      </c>
      <c r="D41" s="5">
        <v>-1.9368226884943551E-2</v>
      </c>
    </row>
    <row r="42" spans="1:4" x14ac:dyDescent="0.25">
      <c r="A42" s="5">
        <v>6.3795853269543734E-4</v>
      </c>
      <c r="B42" s="5">
        <v>-3.3593749999999978E-2</v>
      </c>
      <c r="C42" s="5">
        <v>-1.2319625848400184E-2</v>
      </c>
      <c r="D42" s="5">
        <v>-4.7025628967789501E-4</v>
      </c>
    </row>
    <row r="43" spans="1:4" x14ac:dyDescent="0.25">
      <c r="A43" s="5">
        <v>1.3069811922218788E-2</v>
      </c>
      <c r="B43" s="5">
        <v>7.275666936135794E-3</v>
      </c>
      <c r="C43" s="5">
        <v>1.8334584512328833E-2</v>
      </c>
      <c r="D43" s="5">
        <v>1.2467654669489514E-2</v>
      </c>
    </row>
    <row r="44" spans="1:4" x14ac:dyDescent="0.25">
      <c r="A44" s="5">
        <v>-1.2271869100062949E-2</v>
      </c>
      <c r="B44" s="5">
        <v>-6.9823434991974298E-2</v>
      </c>
      <c r="C44" s="5">
        <v>-4.9051575037568629E-3</v>
      </c>
      <c r="D44" s="5">
        <v>-9.526022304832682E-3</v>
      </c>
    </row>
    <row r="45" spans="1:4" x14ac:dyDescent="0.25">
      <c r="A45" s="5">
        <v>2.8990124243389648E-2</v>
      </c>
      <c r="B45" s="5">
        <v>8.0241587575496043E-2</v>
      </c>
      <c r="C45" s="5">
        <v>1.3990198313198032E-2</v>
      </c>
      <c r="D45" s="5">
        <v>7.7410274454610128E-3</v>
      </c>
    </row>
    <row r="46" spans="1:4" x14ac:dyDescent="0.25">
      <c r="A46" s="5">
        <v>4.024767801857676E-3</v>
      </c>
      <c r="B46" s="5">
        <v>-3.9936102236421966E-3</v>
      </c>
      <c r="C46" s="5">
        <v>6.1820327647736928E-3</v>
      </c>
      <c r="D46" s="5">
        <v>2.5605214152700118E-2</v>
      </c>
    </row>
    <row r="47" spans="1:4" x14ac:dyDescent="0.25">
      <c r="A47" s="5">
        <v>1.9118100524206039E-2</v>
      </c>
      <c r="B47" s="5">
        <v>4.1700080192461852E-2</v>
      </c>
      <c r="C47" s="5">
        <v>1.0556595079174391E-2</v>
      </c>
      <c r="D47" s="5">
        <v>-4.5392646391284597E-4</v>
      </c>
    </row>
    <row r="48" spans="1:4" x14ac:dyDescent="0.25">
      <c r="A48" s="5">
        <v>9.0771558245084094E-4</v>
      </c>
      <c r="B48" s="5">
        <v>-1.000769822940728E-2</v>
      </c>
      <c r="C48" s="5">
        <v>1.409423794390019E-3</v>
      </c>
      <c r="D48" s="5">
        <v>1.5213442325158866E-2</v>
      </c>
    </row>
    <row r="49" spans="1:4" x14ac:dyDescent="0.25">
      <c r="A49" s="5">
        <v>1.6324062877871803E-2</v>
      </c>
      <c r="B49" s="5">
        <v>2.5660964230171057E-2</v>
      </c>
      <c r="C49" s="5">
        <v>5.7953416491887122E-3</v>
      </c>
      <c r="D49" s="5">
        <v>-5.1442630284053159E-3</v>
      </c>
    </row>
    <row r="50" spans="1:4" x14ac:dyDescent="0.25">
      <c r="A50" s="5">
        <v>-3.8667459845330709E-3</v>
      </c>
      <c r="B50" s="5">
        <v>7.5815011372251107E-3</v>
      </c>
      <c r="C50" s="5">
        <v>-1.1249519837568389E-3</v>
      </c>
      <c r="D50" s="5">
        <v>-4.4964028776983689E-4</v>
      </c>
    </row>
    <row r="51" spans="1:4" x14ac:dyDescent="0.25">
      <c r="A51" s="5">
        <v>2.1498954911914003E-2</v>
      </c>
      <c r="B51" s="5">
        <v>3.762227238525151E-3</v>
      </c>
      <c r="C51" s="5">
        <v>3.2687817607470748E-3</v>
      </c>
      <c r="D51" s="5">
        <v>-8.3220872694557135E-3</v>
      </c>
    </row>
    <row r="52" spans="1:4" x14ac:dyDescent="0.25">
      <c r="A52" s="5">
        <v>-1.7246419175679595E-2</v>
      </c>
      <c r="B52" s="5">
        <v>-4.6476761619190454E-2</v>
      </c>
      <c r="C52" s="5">
        <v>-1.4702661263826577E-2</v>
      </c>
      <c r="D52" s="5">
        <v>-1.7010660013608514E-2</v>
      </c>
    </row>
    <row r="53" spans="1:4" x14ac:dyDescent="0.25">
      <c r="A53" s="5">
        <v>8.0309339678763525E-3</v>
      </c>
      <c r="B53" s="5">
        <v>1.0220125786163603E-2</v>
      </c>
      <c r="C53" s="5">
        <v>-1.778419984994617E-3</v>
      </c>
      <c r="D53" s="5">
        <v>1.3151822796492851E-2</v>
      </c>
    </row>
    <row r="54" spans="1:4" x14ac:dyDescent="0.25">
      <c r="A54" s="5">
        <v>-1.1802891708468599E-2</v>
      </c>
      <c r="B54" s="5">
        <v>2.6459143968871501E-2</v>
      </c>
      <c r="C54" s="5">
        <v>7.9057985134871611E-3</v>
      </c>
      <c r="D54" s="5">
        <v>4.7825096788887134E-3</v>
      </c>
    </row>
    <row r="55" spans="1:4" x14ac:dyDescent="0.25">
      <c r="A55" s="5">
        <v>-2.5380710659898442E-2</v>
      </c>
      <c r="B55" s="5">
        <v>-9.0978013646701994E-3</v>
      </c>
      <c r="C55" s="5">
        <v>-7.3466456762504295E-3</v>
      </c>
      <c r="D55" s="5">
        <v>1.201269265639171E-2</v>
      </c>
    </row>
    <row r="56" spans="1:4" x14ac:dyDescent="0.25">
      <c r="A56" s="5">
        <v>-1.041666666666663E-2</v>
      </c>
      <c r="B56" s="5">
        <v>-3.2899770466717659E-2</v>
      </c>
      <c r="C56" s="5">
        <v>-5.5368520631033924E-3</v>
      </c>
      <c r="D56" s="5">
        <v>-6.2709966405375406E-3</v>
      </c>
    </row>
    <row r="57" spans="1:4" x14ac:dyDescent="0.25">
      <c r="A57" s="5">
        <v>-1.8575851393188847E-3</v>
      </c>
      <c r="B57" s="5">
        <v>-7.9113924050633333E-3</v>
      </c>
      <c r="C57" s="5">
        <v>5.6236360584187572E-3</v>
      </c>
      <c r="D57" s="5">
        <v>6.7613252197431528E-3</v>
      </c>
    </row>
    <row r="58" spans="1:4" x14ac:dyDescent="0.25">
      <c r="A58" s="5">
        <v>1.6439205955334879E-2</v>
      </c>
      <c r="B58" s="5">
        <v>2.3923444976076569E-2</v>
      </c>
      <c r="C58" s="5">
        <v>1.2742397685223894E-2</v>
      </c>
      <c r="D58" s="5">
        <v>8.2829639579136138E-3</v>
      </c>
    </row>
    <row r="59" spans="1:4" x14ac:dyDescent="0.25">
      <c r="A59" s="5">
        <v>2.7464144034177185E-3</v>
      </c>
      <c r="B59" s="5">
        <v>8.5669781931463351E-3</v>
      </c>
      <c r="C59" s="5">
        <v>-6.0437900057686011E-4</v>
      </c>
      <c r="D59" s="5">
        <v>1.1545293072824148E-2</v>
      </c>
    </row>
    <row r="60" spans="1:4" x14ac:dyDescent="0.25">
      <c r="A60" s="5">
        <v>-3.1345100426049877E-2</v>
      </c>
      <c r="B60" s="5">
        <v>-6.1776061776062097E-3</v>
      </c>
      <c r="C60" s="5">
        <v>-2.5564199125869269E-3</v>
      </c>
      <c r="D60" s="5">
        <v>-6.8042142230025915E-3</v>
      </c>
    </row>
    <row r="61" spans="1:4" x14ac:dyDescent="0.25">
      <c r="A61" s="5">
        <v>2.10493245366008E-2</v>
      </c>
      <c r="B61" s="5">
        <v>3.7296037296037365E-2</v>
      </c>
      <c r="C61" s="5">
        <v>3.9684726891913158E-3</v>
      </c>
      <c r="D61" s="5">
        <v>6.6298342541437627E-4</v>
      </c>
    </row>
    <row r="62" spans="1:4" x14ac:dyDescent="0.25">
      <c r="A62" s="5">
        <v>3.3846153846153859E-2</v>
      </c>
      <c r="B62" s="5">
        <v>3.4456928838951351E-2</v>
      </c>
      <c r="C62" s="5">
        <v>1.0595662915179771E-2</v>
      </c>
      <c r="D62" s="5">
        <v>-1.5459363957597283E-3</v>
      </c>
    </row>
    <row r="63" spans="1:4" x14ac:dyDescent="0.25">
      <c r="A63" s="5">
        <v>3.2738095238096232E-3</v>
      </c>
      <c r="B63" s="5">
        <v>1.303403330919628E-2</v>
      </c>
      <c r="C63" s="5">
        <v>1.4423076923076872E-2</v>
      </c>
      <c r="D63" s="5">
        <v>2.8091130280911258E-2</v>
      </c>
    </row>
    <row r="64" spans="1:4" x14ac:dyDescent="0.25">
      <c r="A64" s="5">
        <v>1.6908929101156822E-2</v>
      </c>
      <c r="B64" s="5">
        <v>-9.2923516797712713E-3</v>
      </c>
      <c r="C64" s="5">
        <v>-5.6229416017350431E-4</v>
      </c>
      <c r="D64" s="5">
        <v>4.7332185886401756E-3</v>
      </c>
    </row>
    <row r="65" spans="1:4" x14ac:dyDescent="0.25">
      <c r="A65" s="5">
        <v>-1.0210035005834284E-2</v>
      </c>
      <c r="B65" s="5">
        <v>2.020202020202011E-2</v>
      </c>
      <c r="C65" s="5">
        <v>1.2591759095537114E-3</v>
      </c>
      <c r="D65" s="5">
        <v>-2.1413276231263545E-3</v>
      </c>
    </row>
    <row r="66" spans="1:4" x14ac:dyDescent="0.25">
      <c r="A66" s="5">
        <v>2.357795461243728E-2</v>
      </c>
      <c r="B66" s="5">
        <v>1.2729844413012836E-2</v>
      </c>
      <c r="C66" s="5">
        <v>4.8698258100767777E-3</v>
      </c>
      <c r="D66" s="5">
        <v>-6.4377682403438108E-4</v>
      </c>
    </row>
    <row r="67" spans="1:4" x14ac:dyDescent="0.25">
      <c r="A67" s="5">
        <v>0</v>
      </c>
      <c r="B67" s="5">
        <v>5.5865921787709993E-3</v>
      </c>
      <c r="C67" s="5">
        <v>7.1894554653175735E-3</v>
      </c>
      <c r="D67" s="5">
        <v>4.2946102641194805E-4</v>
      </c>
    </row>
    <row r="68" spans="1:4" x14ac:dyDescent="0.25">
      <c r="A68" s="5">
        <v>-2.2171033688453745E-2</v>
      </c>
      <c r="B68" s="5">
        <v>5.6249999999999911E-2</v>
      </c>
      <c r="C68" s="5">
        <v>4.4943820224729869E-4</v>
      </c>
      <c r="D68" s="5">
        <v>2.1463833440660274E-4</v>
      </c>
    </row>
    <row r="69" spans="1:4" x14ac:dyDescent="0.25">
      <c r="A69" s="5">
        <v>1.7667844522968101E-2</v>
      </c>
      <c r="B69" s="5">
        <v>3.0900723208415526E-2</v>
      </c>
      <c r="C69" s="5">
        <v>2.7218434543627712E-3</v>
      </c>
      <c r="D69" s="5">
        <v>-3.0042918454935563E-3</v>
      </c>
    </row>
    <row r="70" spans="1:4" x14ac:dyDescent="0.25">
      <c r="A70" s="5">
        <v>-7.8125E-3</v>
      </c>
      <c r="B70" s="5">
        <v>-2.5510204081632626E-2</v>
      </c>
      <c r="C70" s="5">
        <v>-3.2151798655949415E-3</v>
      </c>
      <c r="D70" s="5">
        <v>-4.3047783039174004E-4</v>
      </c>
    </row>
    <row r="71" spans="1:4" x14ac:dyDescent="0.25">
      <c r="A71" s="5">
        <v>4.1411490230387926E-2</v>
      </c>
      <c r="B71" s="5">
        <v>5.6282722513089078E-2</v>
      </c>
      <c r="C71" s="5">
        <v>1.0734209343521206E-2</v>
      </c>
      <c r="D71" s="5">
        <v>6.0292850990526503E-3</v>
      </c>
    </row>
    <row r="72" spans="1:4" x14ac:dyDescent="0.25">
      <c r="A72" s="5">
        <v>8.9610753290394474E-3</v>
      </c>
      <c r="B72" s="5">
        <v>-1.4250309789343274E-2</v>
      </c>
      <c r="C72" s="5">
        <v>3.5051923932092333E-3</v>
      </c>
      <c r="D72" s="5">
        <v>3.2106164383560731E-3</v>
      </c>
    </row>
    <row r="73" spans="1:4" x14ac:dyDescent="0.25">
      <c r="A73" s="5">
        <v>-6.6611157368858809E-3</v>
      </c>
      <c r="B73" s="5">
        <v>-3.4569453174104314E-2</v>
      </c>
      <c r="C73" s="5">
        <v>-4.9266220055782517E-3</v>
      </c>
      <c r="D73" s="5">
        <v>-6.4006827394922361E-3</v>
      </c>
    </row>
    <row r="74" spans="1:4" x14ac:dyDescent="0.25">
      <c r="A74" s="5">
        <v>1.1455713886560526E-2</v>
      </c>
      <c r="B74" s="5">
        <v>-1.236979166666663E-2</v>
      </c>
      <c r="C74" s="5">
        <v>-7.3348352281658036E-3</v>
      </c>
      <c r="D74" s="5">
        <v>7.7302984754132886E-3</v>
      </c>
    </row>
    <row r="75" spans="1:4" x14ac:dyDescent="0.25">
      <c r="A75" s="5">
        <v>1.74033149171271E-2</v>
      </c>
      <c r="B75" s="5">
        <v>1.2524719841793042E-2</v>
      </c>
      <c r="C75" s="5">
        <v>9.3946271177494101E-3</v>
      </c>
      <c r="D75" s="5">
        <v>2.983166418069505E-3</v>
      </c>
    </row>
    <row r="76" spans="1:4" x14ac:dyDescent="0.25">
      <c r="A76" s="5">
        <v>-1.7648655986967188E-2</v>
      </c>
      <c r="B76" s="5">
        <v>-3.3203125E-2</v>
      </c>
      <c r="C76" s="5">
        <v>-9.1764705882353415E-3</v>
      </c>
      <c r="D76" s="5">
        <v>-1.0834926704907599E-2</v>
      </c>
    </row>
    <row r="77" spans="1:4" x14ac:dyDescent="0.25">
      <c r="A77" s="5">
        <v>-3.3167495854062867E-3</v>
      </c>
      <c r="B77" s="5">
        <v>2.8282828282828243E-2</v>
      </c>
      <c r="C77" s="5">
        <v>1.0659911871025551E-2</v>
      </c>
      <c r="D77" s="5">
        <v>1.5034364261168331E-3</v>
      </c>
    </row>
    <row r="78" spans="1:4" x14ac:dyDescent="0.25">
      <c r="A78" s="5">
        <v>-2.2185246810870751E-3</v>
      </c>
      <c r="B78" s="5">
        <v>1.3752455795677854E-2</v>
      </c>
      <c r="C78" s="5">
        <v>2.1669320940918002E-3</v>
      </c>
      <c r="D78" s="5">
        <v>-1.4153978125670208E-2</v>
      </c>
    </row>
    <row r="79" spans="1:4" x14ac:dyDescent="0.25">
      <c r="A79" s="5">
        <v>-1.8899388549194041E-2</v>
      </c>
      <c r="B79" s="5">
        <v>-6.4599483204134112E-3</v>
      </c>
      <c r="C79" s="5">
        <v>-3.1261397384463319E-4</v>
      </c>
      <c r="D79" s="5">
        <v>3.4805307809440134E-3</v>
      </c>
    </row>
    <row r="80" spans="1:4" x14ac:dyDescent="0.25">
      <c r="A80" s="5">
        <v>4.2492917847025691E-3</v>
      </c>
      <c r="B80" s="5">
        <v>-6.5019505851755532E-3</v>
      </c>
      <c r="C80" s="5">
        <v>-4.6906759785270147E-4</v>
      </c>
      <c r="D80" s="5">
        <v>-3.6852373726424803E-3</v>
      </c>
    </row>
    <row r="81" spans="1:4" x14ac:dyDescent="0.25">
      <c r="A81" s="5">
        <v>-1.9181946403384997E-2</v>
      </c>
      <c r="B81" s="5">
        <v>2.6178010471205049E-3</v>
      </c>
      <c r="C81" s="5">
        <v>6.6743143184899711E-3</v>
      </c>
      <c r="D81" s="5">
        <v>1.2619669277632806E-2</v>
      </c>
    </row>
    <row r="82" spans="1:4" x14ac:dyDescent="0.25">
      <c r="A82" s="5">
        <v>-1.1791774518262854E-2</v>
      </c>
      <c r="B82" s="5">
        <v>-2.0234986945169675E-2</v>
      </c>
      <c r="C82" s="5">
        <v>-6.6041645084429224E-3</v>
      </c>
      <c r="D82" s="5">
        <v>2.1486892995272733E-3</v>
      </c>
    </row>
    <row r="83" spans="1:4" x14ac:dyDescent="0.25">
      <c r="A83" s="5">
        <v>3.8416763678696064E-2</v>
      </c>
      <c r="B83" s="5">
        <v>-1.1325782811459018E-2</v>
      </c>
      <c r="C83" s="5">
        <v>2.2681648721223358E-3</v>
      </c>
      <c r="D83" s="5">
        <v>1.5651801029159529E-2</v>
      </c>
    </row>
    <row r="84" spans="1:4" x14ac:dyDescent="0.25">
      <c r="A84" s="5">
        <v>-1.0369955156950716E-2</v>
      </c>
      <c r="B84" s="5">
        <v>-3.301886792452835E-2</v>
      </c>
      <c r="C84" s="5">
        <v>-6.0867755696597525E-3</v>
      </c>
      <c r="D84" s="5">
        <v>-9.7107874181971976E-3</v>
      </c>
    </row>
    <row r="85" spans="1:4" x14ac:dyDescent="0.25">
      <c r="A85" s="5">
        <v>8.4961767204758676E-3</v>
      </c>
      <c r="B85" s="5">
        <v>7.6655052264809065E-3</v>
      </c>
      <c r="C85" s="5">
        <v>1.8319811567657496E-4</v>
      </c>
      <c r="D85" s="5">
        <v>-8.5269665316567433E-4</v>
      </c>
    </row>
    <row r="86" spans="1:4" x14ac:dyDescent="0.25">
      <c r="A86" s="5">
        <v>3.2294299354113987E-2</v>
      </c>
      <c r="B86" s="5">
        <v>4.1493775933609811E-3</v>
      </c>
      <c r="C86" s="5">
        <v>8.1377397493263004E-3</v>
      </c>
      <c r="D86" s="5">
        <v>3.200341369746118E-3</v>
      </c>
    </row>
    <row r="87" spans="1:4" x14ac:dyDescent="0.25">
      <c r="A87" s="5">
        <v>1.795429815016325E-2</v>
      </c>
      <c r="B87" s="5">
        <v>1.9972451790633672E-2</v>
      </c>
      <c r="C87" s="5">
        <v>7.137666112956742E-3</v>
      </c>
      <c r="D87" s="5">
        <v>-6.1675882603147159E-3</v>
      </c>
    </row>
    <row r="88" spans="1:4" x14ac:dyDescent="0.25">
      <c r="A88" s="5">
        <v>-1.068947087119243E-3</v>
      </c>
      <c r="B88" s="5">
        <v>-3.6461850101282889E-2</v>
      </c>
      <c r="C88" s="5">
        <v>-9.7930572378424063E-3</v>
      </c>
      <c r="D88" s="5">
        <v>4.4939011341751378E-3</v>
      </c>
    </row>
    <row r="89" spans="1:4" x14ac:dyDescent="0.25">
      <c r="A89" s="5">
        <v>6.9555912252541319E-3</v>
      </c>
      <c r="B89" s="5">
        <v>2.803083391730965E-3</v>
      </c>
      <c r="C89" s="5">
        <v>-8.7707883299065204E-3</v>
      </c>
      <c r="D89" s="5">
        <v>-8.9475926714954745E-3</v>
      </c>
    </row>
    <row r="90" spans="1:4" x14ac:dyDescent="0.25">
      <c r="A90" s="5">
        <v>-2.0722635494155206E-2</v>
      </c>
      <c r="B90" s="5">
        <v>-3.8434661076170551E-2</v>
      </c>
      <c r="C90" s="5">
        <v>-2.1346426508428329E-2</v>
      </c>
      <c r="D90" s="5">
        <v>-2.6010318142734357E-2</v>
      </c>
    </row>
    <row r="91" spans="1:4" x14ac:dyDescent="0.25">
      <c r="A91" s="5">
        <v>1.8990775908844792E-3</v>
      </c>
      <c r="B91" s="5">
        <v>-6.5406976744185608E-3</v>
      </c>
      <c r="C91" s="5">
        <v>1.1885278888203343E-2</v>
      </c>
      <c r="D91" s="5">
        <v>1.6994041050540698E-2</v>
      </c>
    </row>
    <row r="92" spans="1:4" x14ac:dyDescent="0.25">
      <c r="A92" s="5">
        <v>2.464121310587597E-2</v>
      </c>
      <c r="B92" s="5">
        <v>4.169714703730798E-2</v>
      </c>
      <c r="C92" s="5">
        <v>1.5351574928412326E-2</v>
      </c>
      <c r="D92" s="5">
        <v>9.3315972222223209E-3</v>
      </c>
    </row>
    <row r="93" spans="1:4" x14ac:dyDescent="0.25">
      <c r="A93" s="5">
        <v>4.862579281183943E-2</v>
      </c>
      <c r="B93" s="5">
        <v>-4.9157303370787053E-3</v>
      </c>
      <c r="C93" s="5">
        <v>-2.4024024024024149E-3</v>
      </c>
      <c r="D93" s="5">
        <v>-4.5151580305310413E-3</v>
      </c>
    </row>
    <row r="94" spans="1:4" x14ac:dyDescent="0.25">
      <c r="A94" s="5">
        <v>-1.2600806451612545E-3</v>
      </c>
      <c r="B94" s="5">
        <v>-1.0585744530698604E-2</v>
      </c>
      <c r="C94" s="5">
        <v>-8.6380650734235731E-3</v>
      </c>
      <c r="D94" s="5">
        <v>2.1598272138228847E-2</v>
      </c>
    </row>
    <row r="95" spans="1:4" x14ac:dyDescent="0.25">
      <c r="A95" s="5">
        <v>-1.4887711329800601E-2</v>
      </c>
      <c r="B95" s="5">
        <v>3.566333808844524E-3</v>
      </c>
      <c r="C95" s="5">
        <v>-2.6404034536476884E-3</v>
      </c>
      <c r="D95" s="5">
        <v>2.1141649048628253E-4</v>
      </c>
    </row>
    <row r="96" spans="1:4" x14ac:dyDescent="0.25">
      <c r="A96" s="5">
        <v>1.2038934426229497E-2</v>
      </c>
      <c r="B96" s="5">
        <v>3.8379530916844429E-2</v>
      </c>
      <c r="C96" s="5">
        <v>1.0668996373070616E-2</v>
      </c>
      <c r="D96" s="5">
        <v>3.3819488480235638E-3</v>
      </c>
    </row>
    <row r="97" spans="1:4" x14ac:dyDescent="0.25">
      <c r="A97" s="5">
        <v>-5.568210579600108E-3</v>
      </c>
      <c r="B97" s="5">
        <v>2.6009582477754867E-2</v>
      </c>
      <c r="C97" s="5">
        <v>-7.5963956412405942E-4</v>
      </c>
      <c r="D97" s="5">
        <v>-4.6345060037918939E-3</v>
      </c>
    </row>
    <row r="98" spans="1:4" x14ac:dyDescent="0.25">
      <c r="A98" s="5">
        <v>3.5632476457114759E-3</v>
      </c>
      <c r="B98" s="5">
        <v>4.1360907271514424E-2</v>
      </c>
      <c r="C98" s="5">
        <v>1.009253676566968E-2</v>
      </c>
      <c r="D98" s="5">
        <v>0</v>
      </c>
    </row>
    <row r="99" spans="1:4" x14ac:dyDescent="0.25">
      <c r="A99" s="5">
        <v>2.2825259954348809E-3</v>
      </c>
      <c r="B99" s="5">
        <v>2.5624599615630128E-3</v>
      </c>
      <c r="C99" s="5">
        <v>-2.1021488632824159E-3</v>
      </c>
      <c r="D99" s="5">
        <v>4.2328042328041438E-3</v>
      </c>
    </row>
    <row r="100" spans="1:4" x14ac:dyDescent="0.25">
      <c r="A100" s="5">
        <v>-1.5182186234817818E-3</v>
      </c>
      <c r="B100" s="5">
        <v>3.1948881789136685E-3</v>
      </c>
      <c r="C100" s="5">
        <v>1.8204988166756753E-3</v>
      </c>
      <c r="D100" s="5">
        <v>-1.2644889357218414E-3</v>
      </c>
    </row>
    <row r="101" spans="1:4" x14ac:dyDescent="0.25">
      <c r="A101" s="5">
        <v>-6.3355296502787262E-3</v>
      </c>
      <c r="B101" s="5">
        <v>-1.3375796178343946E-2</v>
      </c>
      <c r="C101" s="5">
        <v>4.4131772280064929E-4</v>
      </c>
      <c r="D101" s="5">
        <v>-3.3762397130195909E-3</v>
      </c>
    </row>
    <row r="102" spans="1:4" x14ac:dyDescent="0.25">
      <c r="A102" s="5">
        <v>5.35577658760511E-3</v>
      </c>
      <c r="B102" s="5">
        <v>4.8418334409296326E-2</v>
      </c>
      <c r="C102" s="5">
        <v>1.9461310913904128E-3</v>
      </c>
      <c r="D102" s="5">
        <v>2.3290281600678586E-3</v>
      </c>
    </row>
    <row r="103" spans="1:4" x14ac:dyDescent="0.25">
      <c r="A103" s="5">
        <v>1.7757483510907335E-3</v>
      </c>
      <c r="B103" s="5">
        <v>1.2315270935960854E-3</v>
      </c>
      <c r="C103" s="5">
        <v>-7.769404086706011E-4</v>
      </c>
      <c r="D103" s="5">
        <v>-2.5348542458808465E-3</v>
      </c>
    </row>
    <row r="104" spans="1:4" x14ac:dyDescent="0.25">
      <c r="A104" s="5">
        <v>1.2661433274245848E-3</v>
      </c>
      <c r="B104" s="5">
        <v>3.1980319803198043E-2</v>
      </c>
      <c r="C104" s="5">
        <v>1.684679781250864E-3</v>
      </c>
      <c r="D104" s="5">
        <v>-2.1177467174925413E-3</v>
      </c>
    </row>
    <row r="105" spans="1:4" x14ac:dyDescent="0.25">
      <c r="A105" s="5">
        <v>-3.4648457258472432E-2</v>
      </c>
      <c r="B105" s="5">
        <v>1.1323003575685275E-2</v>
      </c>
      <c r="C105" s="5">
        <v>-3.8035603394742656E-3</v>
      </c>
      <c r="D105" s="5">
        <v>1.6977928692698541E-3</v>
      </c>
    </row>
    <row r="106" spans="1:4" x14ac:dyDescent="0.25">
      <c r="A106" s="5">
        <v>1.3361278490961581E-2</v>
      </c>
      <c r="B106" s="5">
        <v>3.5945786682380687E-2</v>
      </c>
      <c r="C106" s="5">
        <v>9.0646996181917849E-3</v>
      </c>
      <c r="D106" s="5">
        <v>1.6949152542373724E-3</v>
      </c>
    </row>
    <row r="107" spans="1:4" x14ac:dyDescent="0.25">
      <c r="A107" s="5">
        <v>-7.755946225439514E-4</v>
      </c>
      <c r="B107" s="5">
        <v>2.2753128555177415E-3</v>
      </c>
      <c r="C107" s="5">
        <v>-8.4942084942085661E-4</v>
      </c>
      <c r="D107" s="5">
        <v>-6.556683587140455E-3</v>
      </c>
    </row>
    <row r="108" spans="1:4" x14ac:dyDescent="0.25">
      <c r="A108" s="5">
        <v>-1.4230271668822736E-2</v>
      </c>
      <c r="B108" s="5">
        <v>-9.0805902383654935E-3</v>
      </c>
      <c r="C108" s="5">
        <v>1.5457145065300715E-4</v>
      </c>
      <c r="D108" s="5">
        <v>-7.6644666808600714E-3</v>
      </c>
    </row>
    <row r="109" spans="1:4" x14ac:dyDescent="0.25">
      <c r="A109" s="5">
        <v>-2.624671916010457E-3</v>
      </c>
      <c r="B109" s="5">
        <v>-5.7273768613974596E-3</v>
      </c>
      <c r="C109" s="5">
        <v>-1.5712335471240735E-3</v>
      </c>
      <c r="D109" s="5">
        <v>-5.3636558678394897E-3</v>
      </c>
    </row>
    <row r="110" spans="1:4" x14ac:dyDescent="0.25">
      <c r="A110" s="5">
        <v>2.4999999999999911E-2</v>
      </c>
      <c r="B110" s="5">
        <v>4.0322580645162365E-3</v>
      </c>
      <c r="C110" s="5">
        <v>4.6179247716835459E-3</v>
      </c>
      <c r="D110" s="5">
        <v>5.8239861949955785E-3</v>
      </c>
    </row>
    <row r="111" spans="1:4" x14ac:dyDescent="0.25">
      <c r="A111" s="5">
        <v>-1.7201540436456941E-2</v>
      </c>
      <c r="B111" s="5">
        <v>2.2948938611589309E-2</v>
      </c>
      <c r="C111" s="5">
        <v>1.7462314783904809E-3</v>
      </c>
      <c r="D111" s="5">
        <v>6.2191722067339583E-3</v>
      </c>
    </row>
    <row r="112" spans="1:4" x14ac:dyDescent="0.25">
      <c r="A112" s="5">
        <v>-6.5308254963427625E-3</v>
      </c>
      <c r="B112" s="5">
        <v>1.0656197420078506E-2</v>
      </c>
      <c r="C112" s="5">
        <v>2.512240764951601E-3</v>
      </c>
      <c r="D112" s="5">
        <v>-1.4919011082693556E-3</v>
      </c>
    </row>
    <row r="113" spans="1:4" x14ac:dyDescent="0.25">
      <c r="A113" s="5">
        <v>-1.1569813305285281E-2</v>
      </c>
      <c r="B113" s="5">
        <v>-1.2763596004439548E-2</v>
      </c>
      <c r="C113" s="5">
        <v>-2.0968113125527932E-3</v>
      </c>
      <c r="D113" s="5">
        <v>-3.8420490928494644E-3</v>
      </c>
    </row>
    <row r="114" spans="1:4" x14ac:dyDescent="0.25">
      <c r="A114" s="5">
        <v>-2.1814312317105622E-2</v>
      </c>
      <c r="B114" s="5">
        <v>1.1242270938729426E-3</v>
      </c>
      <c r="C114" s="5">
        <v>-5.4836643177450517E-3</v>
      </c>
      <c r="D114" s="5">
        <v>-2.0355688879365785E-2</v>
      </c>
    </row>
    <row r="115" spans="1:4" x14ac:dyDescent="0.25">
      <c r="A115" s="5">
        <v>-5.0040794125645882E-2</v>
      </c>
      <c r="B115" s="5">
        <v>4.7725996631106105E-2</v>
      </c>
      <c r="C115" s="5">
        <v>-3.6072247558682768E-4</v>
      </c>
      <c r="D115" s="5">
        <v>4.1557305336832329E-3</v>
      </c>
    </row>
    <row r="116" spans="1:4" x14ac:dyDescent="0.25">
      <c r="A116" s="5">
        <v>-2.2902948754652153E-2</v>
      </c>
      <c r="B116" s="5">
        <v>-1.071811361200381E-3</v>
      </c>
      <c r="C116" s="5">
        <v>-1.3274222233677913E-2</v>
      </c>
      <c r="D116" s="5">
        <v>-1.8514484861685943E-2</v>
      </c>
    </row>
    <row r="117" spans="1:4" x14ac:dyDescent="0.25">
      <c r="A117" s="5">
        <v>1.8751831233518867E-2</v>
      </c>
      <c r="B117" s="5">
        <v>-1.1266094420600892E-2</v>
      </c>
      <c r="C117" s="5">
        <v>1.4001358340734571E-2</v>
      </c>
      <c r="D117" s="5">
        <v>9.0989791389257668E-3</v>
      </c>
    </row>
    <row r="118" spans="1:4" x14ac:dyDescent="0.25">
      <c r="A118" s="5">
        <v>-6.3272936439459082E-3</v>
      </c>
      <c r="B118" s="5">
        <v>2.4959305480195315E-2</v>
      </c>
      <c r="C118" s="5">
        <v>5.3068164253695649E-3</v>
      </c>
      <c r="D118" s="5">
        <v>4.6184297338904834E-3</v>
      </c>
    </row>
    <row r="119" spans="1:4" x14ac:dyDescent="0.25">
      <c r="A119" s="5">
        <v>-6.3675832127351173E-3</v>
      </c>
      <c r="B119" s="5">
        <v>8.9994706193752272E-3</v>
      </c>
      <c r="C119" s="5">
        <v>-1.0762607626075837E-3</v>
      </c>
      <c r="D119" s="5">
        <v>-7.8809106830122211E-3</v>
      </c>
    </row>
    <row r="120" spans="1:4" x14ac:dyDescent="0.25">
      <c r="A120" s="5">
        <v>3.2041945819982764E-3</v>
      </c>
      <c r="B120" s="5">
        <v>7.8698845750262425E-3</v>
      </c>
      <c r="C120" s="5">
        <v>5.7205889897902207E-3</v>
      </c>
      <c r="D120" s="5">
        <v>7.0609002647836761E-3</v>
      </c>
    </row>
    <row r="121" spans="1:4" x14ac:dyDescent="0.25">
      <c r="A121" s="5">
        <v>-2.3228803716608404E-3</v>
      </c>
      <c r="B121" s="5">
        <v>-9.3701197293076799E-3</v>
      </c>
      <c r="C121" s="5">
        <v>3.698507843387322E-3</v>
      </c>
      <c r="D121" s="5">
        <v>1.1831726555652899E-2</v>
      </c>
    </row>
    <row r="122" spans="1:4" x14ac:dyDescent="0.25">
      <c r="A122" s="5">
        <v>-1.1059371362048931E-2</v>
      </c>
      <c r="B122" s="5">
        <v>4.9921177088807056E-2</v>
      </c>
      <c r="C122" s="5">
        <v>2.0838627700126011E-3</v>
      </c>
      <c r="D122" s="5">
        <v>-3.2481593763533656E-3</v>
      </c>
    </row>
    <row r="123" spans="1:4" x14ac:dyDescent="0.25">
      <c r="A123" s="5">
        <v>-1.0005885815185356E-2</v>
      </c>
      <c r="B123" s="5">
        <v>2.5025025025025016E-3</v>
      </c>
      <c r="C123" s="5">
        <v>-2.9417731791437918E-3</v>
      </c>
      <c r="D123" s="5">
        <v>-5.6484901151423461E-3</v>
      </c>
    </row>
    <row r="124" spans="1:4" x14ac:dyDescent="0.25">
      <c r="A124" s="5">
        <v>1.0107015457788249E-2</v>
      </c>
      <c r="B124" s="5">
        <v>-1.4977533699450651E-3</v>
      </c>
      <c r="C124" s="5">
        <v>9.1565774748203488E-4</v>
      </c>
      <c r="D124" s="5">
        <v>2.7091981647367369E-2</v>
      </c>
    </row>
    <row r="125" spans="1:4" x14ac:dyDescent="0.25">
      <c r="A125" s="5">
        <v>-5.8858151854035423E-4</v>
      </c>
      <c r="B125" s="5">
        <v>1.0499999999999954E-2</v>
      </c>
      <c r="C125" s="5">
        <v>5.6413905265297881E-3</v>
      </c>
      <c r="D125" s="5">
        <v>-1.2125079770261671E-2</v>
      </c>
    </row>
    <row r="126" spans="1:4" x14ac:dyDescent="0.25">
      <c r="A126" s="5">
        <v>1.3545347467609048E-2</v>
      </c>
      <c r="B126" s="5">
        <v>1.385452746165261E-2</v>
      </c>
      <c r="C126" s="5">
        <v>7.6060039419820757E-3</v>
      </c>
      <c r="D126" s="5">
        <v>5.5986218776915564E-3</v>
      </c>
    </row>
    <row r="127" spans="1:4" x14ac:dyDescent="0.25">
      <c r="A127" s="5">
        <v>0</v>
      </c>
      <c r="B127" s="5">
        <v>1.024890190336758E-2</v>
      </c>
      <c r="C127" s="5">
        <v>0</v>
      </c>
      <c r="D127" s="5">
        <v>-1.0706638115631772E-3</v>
      </c>
    </row>
    <row r="128" spans="1:4" x14ac:dyDescent="0.25">
      <c r="A128" s="5">
        <v>0</v>
      </c>
      <c r="B128" s="5">
        <v>-1.5942028985507228E-2</v>
      </c>
      <c r="C128" s="5">
        <v>0</v>
      </c>
      <c r="D128" s="5">
        <v>-1.7148981779206984E-3</v>
      </c>
    </row>
    <row r="129" spans="1:4" x14ac:dyDescent="0.25">
      <c r="A129" s="5">
        <v>0</v>
      </c>
      <c r="B129" s="5">
        <v>-2.307314678448702E-2</v>
      </c>
      <c r="C129" s="5">
        <v>0</v>
      </c>
      <c r="D129" s="5">
        <v>-8.5892205282367406E-4</v>
      </c>
    </row>
    <row r="130" spans="1:4" x14ac:dyDescent="0.25">
      <c r="A130" s="5">
        <v>2.9052876234747504E-3</v>
      </c>
      <c r="B130" s="5">
        <v>7.5376884422111434E-3</v>
      </c>
      <c r="C130" s="5">
        <v>-1.8808777429467627E-3</v>
      </c>
      <c r="D130" s="5">
        <v>5.1579626047710825E-3</v>
      </c>
    </row>
    <row r="131" spans="1:4" x14ac:dyDescent="0.25">
      <c r="A131" s="5">
        <v>1.1587485515642815E-3</v>
      </c>
      <c r="B131" s="5">
        <v>2.2942643391521189E-2</v>
      </c>
      <c r="C131" s="5">
        <v>3.4422110552763119E-3</v>
      </c>
      <c r="D131" s="5">
        <v>-1.9243104554201862E-3</v>
      </c>
    </row>
    <row r="132" spans="1:4" x14ac:dyDescent="0.25">
      <c r="A132" s="5">
        <v>-2.546296296296291E-2</v>
      </c>
      <c r="B132" s="5">
        <v>-1.2676743052169703E-2</v>
      </c>
      <c r="C132" s="5">
        <v>-7.9625410020782716E-3</v>
      </c>
      <c r="D132" s="5">
        <v>3.8560411311054921E-3</v>
      </c>
    </row>
    <row r="133" spans="1:4" x14ac:dyDescent="0.25">
      <c r="A133" s="5">
        <v>2.0486935866983469E-2</v>
      </c>
      <c r="B133" s="5">
        <v>-2.0246913580246884E-2</v>
      </c>
      <c r="C133" s="5">
        <v>1.0550493450112386E-2</v>
      </c>
      <c r="D133" s="5">
        <v>6.8288518992745129E-3</v>
      </c>
    </row>
    <row r="134" spans="1:4" x14ac:dyDescent="0.25">
      <c r="A134" s="5">
        <v>-1.3965667733488507E-2</v>
      </c>
      <c r="B134" s="5">
        <v>-4.3850806451612878E-2</v>
      </c>
      <c r="C134" s="5">
        <v>3.6216499737742325E-3</v>
      </c>
      <c r="D134" s="5">
        <v>8.4781687155577323E-4</v>
      </c>
    </row>
    <row r="135" spans="1:4" x14ac:dyDescent="0.25">
      <c r="A135" s="5">
        <v>1.1507819415756959E-2</v>
      </c>
      <c r="B135" s="5">
        <v>-4.2698998418555623E-2</v>
      </c>
      <c r="C135" s="5">
        <v>-3.384600069682997E-3</v>
      </c>
      <c r="D135" s="5">
        <v>-6.3532401524779569E-4</v>
      </c>
    </row>
    <row r="136" spans="1:4" x14ac:dyDescent="0.25">
      <c r="A136" s="5">
        <v>1.3418903150525185E-2</v>
      </c>
      <c r="B136" s="5">
        <v>3.4140969162995694E-2</v>
      </c>
      <c r="C136" s="5">
        <v>1.3734205663487042E-3</v>
      </c>
      <c r="D136" s="5">
        <v>-2.3310023310023631E-3</v>
      </c>
    </row>
    <row r="137" spans="1:4" x14ac:dyDescent="0.25">
      <c r="A137" s="5">
        <v>6.6206102475532269E-3</v>
      </c>
      <c r="B137" s="5">
        <v>-9.0521831735889124E-3</v>
      </c>
      <c r="C137" s="5">
        <v>-3.2168773846038556E-3</v>
      </c>
      <c r="D137" s="5">
        <v>4.4604927782498915E-3</v>
      </c>
    </row>
    <row r="138" spans="1:4" x14ac:dyDescent="0.25">
      <c r="A138" s="5">
        <v>-3.0025736345438925E-2</v>
      </c>
      <c r="B138" s="5">
        <v>4.2987641053197301E-2</v>
      </c>
      <c r="C138" s="5">
        <v>-7.7804463124186984E-3</v>
      </c>
      <c r="D138" s="5">
        <v>-4.8636075280186208E-3</v>
      </c>
    </row>
    <row r="139" spans="1:4" x14ac:dyDescent="0.25">
      <c r="A139" s="5">
        <v>-2.1521226415094352E-2</v>
      </c>
      <c r="B139" s="5">
        <v>9.2735703245749868E-3</v>
      </c>
      <c r="C139" s="5">
        <v>-1.4951715791331588E-2</v>
      </c>
      <c r="D139" s="5">
        <v>6.3748406289843018E-4</v>
      </c>
    </row>
    <row r="140" spans="1:4" x14ac:dyDescent="0.25">
      <c r="A140" s="5">
        <v>3.3142512805062196E-3</v>
      </c>
      <c r="B140" s="5">
        <v>-1.5313935681470214E-3</v>
      </c>
      <c r="C140" s="5">
        <v>1.4129210607146447E-2</v>
      </c>
      <c r="D140" s="5">
        <v>8.2820131662773022E-3</v>
      </c>
    </row>
    <row r="141" spans="1:4" x14ac:dyDescent="0.25">
      <c r="A141" s="5">
        <v>9.6096096096096595E-3</v>
      </c>
      <c r="B141" s="5">
        <v>-1.3803680981595123E-2</v>
      </c>
      <c r="C141" s="5">
        <v>8.4048460373549183E-3</v>
      </c>
      <c r="D141" s="5">
        <v>1.2636899747262564E-3</v>
      </c>
    </row>
    <row r="142" spans="1:4" x14ac:dyDescent="0.25">
      <c r="A142" s="5">
        <v>-6.2462819750148668E-3</v>
      </c>
      <c r="B142" s="5">
        <v>-4.14722654224986E-3</v>
      </c>
      <c r="C142" s="5">
        <v>2.127499812279332E-3</v>
      </c>
      <c r="D142" s="5">
        <v>2.1034917963813626E-4</v>
      </c>
    </row>
    <row r="143" spans="1:4" x14ac:dyDescent="0.25">
      <c r="A143" s="5">
        <v>-7.7821011673151474E-3</v>
      </c>
      <c r="B143" s="5">
        <v>1.5096304008328953E-2</v>
      </c>
      <c r="C143" s="5">
        <v>9.9905090164342791E-3</v>
      </c>
      <c r="D143" s="5">
        <v>-4.2060988433227919E-3</v>
      </c>
    </row>
    <row r="144" spans="1:4" x14ac:dyDescent="0.25">
      <c r="A144" s="5">
        <v>1.0558069381598756E-2</v>
      </c>
      <c r="B144" s="5">
        <v>8.2051282051283092E-3</v>
      </c>
      <c r="C144" s="5">
        <v>2.5471091547555336E-3</v>
      </c>
      <c r="D144" s="5">
        <v>1.2671594508975037E-3</v>
      </c>
    </row>
    <row r="145" spans="1:4" x14ac:dyDescent="0.25">
      <c r="A145" s="5">
        <v>5.3731343283582866E-3</v>
      </c>
      <c r="B145" s="5">
        <v>-8.1383519837232576E-3</v>
      </c>
      <c r="C145" s="5">
        <v>-4.4399496805702654E-3</v>
      </c>
      <c r="D145" s="5">
        <v>2.3201856148491462E-3</v>
      </c>
    </row>
    <row r="146" spans="1:4" x14ac:dyDescent="0.25">
      <c r="A146" s="5">
        <v>1.5142517814726864E-2</v>
      </c>
      <c r="B146" s="5">
        <v>1.2820512820512775E-2</v>
      </c>
      <c r="C146" s="5">
        <v>-5.4508064715941273E-4</v>
      </c>
      <c r="D146" s="5">
        <v>-2.3148148148147696E-3</v>
      </c>
    </row>
    <row r="147" spans="1:4" x14ac:dyDescent="0.25">
      <c r="A147" s="5">
        <v>2.5738520035097912E-2</v>
      </c>
      <c r="B147" s="5">
        <v>3.5443037974682845E-3</v>
      </c>
      <c r="C147" s="5">
        <v>4.3134435657801173E-3</v>
      </c>
      <c r="D147" s="5">
        <v>1.1179076144273381E-2</v>
      </c>
    </row>
    <row r="148" spans="1:4" x14ac:dyDescent="0.25">
      <c r="A148" s="5">
        <v>-4.2771599657827064E-3</v>
      </c>
      <c r="B148" s="5">
        <v>2.2704339051463185E-2</v>
      </c>
      <c r="C148" s="5">
        <v>-4.8873201194677973E-3</v>
      </c>
      <c r="D148" s="5">
        <v>-6.8836045056320794E-3</v>
      </c>
    </row>
    <row r="149" spans="1:4" x14ac:dyDescent="0.25">
      <c r="A149" s="5">
        <v>-4.0091638029782217E-3</v>
      </c>
      <c r="B149" s="5">
        <v>1.8253576714356123E-2</v>
      </c>
      <c r="C149" s="5">
        <v>-2.0339823886891262E-3</v>
      </c>
      <c r="D149" s="5">
        <v>1.8693551774837225E-2</v>
      </c>
    </row>
    <row r="150" spans="1:4" x14ac:dyDescent="0.25">
      <c r="A150" s="5">
        <v>8.9131684876366801E-3</v>
      </c>
      <c r="B150" s="5">
        <v>-1.3081395348837233E-2</v>
      </c>
      <c r="C150" s="5">
        <v>8.0779459647553065E-3</v>
      </c>
      <c r="D150" s="5">
        <v>-1.8556701030927325E-3</v>
      </c>
    </row>
    <row r="151" spans="1:4" x14ac:dyDescent="0.25">
      <c r="A151" s="5">
        <v>-8.8344257623254041E-3</v>
      </c>
      <c r="B151" s="5">
        <v>-3.4364261168384758E-3</v>
      </c>
      <c r="C151" s="5">
        <v>-4.7832733369495006E-3</v>
      </c>
      <c r="D151" s="5">
        <v>2.4788266887005861E-3</v>
      </c>
    </row>
    <row r="152" spans="1:4" x14ac:dyDescent="0.25">
      <c r="A152" s="5">
        <v>-1.4951121334100037E-2</v>
      </c>
      <c r="B152" s="5">
        <v>-1.7733990147783207E-2</v>
      </c>
      <c r="C152" s="5">
        <v>6.2431869983152755E-3</v>
      </c>
      <c r="D152" s="5">
        <v>2.1223985163816295E-2</v>
      </c>
    </row>
    <row r="153" spans="1:4" x14ac:dyDescent="0.25">
      <c r="A153" s="5">
        <v>-2.9772329246935181E-2</v>
      </c>
      <c r="B153" s="5">
        <v>-1.2036108324974926E-2</v>
      </c>
      <c r="C153" s="5">
        <v>1.7234587354737485E-3</v>
      </c>
      <c r="D153" s="5">
        <v>8.8781275221954115E-3</v>
      </c>
    </row>
    <row r="154" spans="1:4" x14ac:dyDescent="0.25">
      <c r="A154" s="5">
        <v>0</v>
      </c>
      <c r="B154" s="5">
        <v>1.0659898477157315E-2</v>
      </c>
      <c r="C154" s="5">
        <v>0</v>
      </c>
      <c r="D154" s="5">
        <v>-6.1999999999999833E-3</v>
      </c>
    </row>
    <row r="155" spans="1:4" x14ac:dyDescent="0.25">
      <c r="A155" s="5">
        <v>0</v>
      </c>
      <c r="B155" s="5">
        <v>1.4063284781516749E-2</v>
      </c>
      <c r="C155" s="5">
        <v>0</v>
      </c>
      <c r="D155" s="5">
        <v>3.0187160394445911E-3</v>
      </c>
    </row>
    <row r="156" spans="1:4" x14ac:dyDescent="0.25">
      <c r="A156" s="5">
        <v>-2.4368231046931421E-2</v>
      </c>
      <c r="B156" s="5">
        <v>-1.1887072808320909E-2</v>
      </c>
      <c r="C156" s="5">
        <v>-9.5856068426480867E-4</v>
      </c>
      <c r="D156" s="5">
        <v>8.2263242375602008E-3</v>
      </c>
    </row>
    <row r="157" spans="1:4" x14ac:dyDescent="0.25">
      <c r="A157" s="5">
        <v>-1.2642614862781398E-2</v>
      </c>
      <c r="B157" s="5">
        <v>-2.4561403508771895E-2</v>
      </c>
      <c r="C157" s="5">
        <v>1.2547051442910462E-3</v>
      </c>
      <c r="D157" s="5">
        <v>-3.9800995024874553E-4</v>
      </c>
    </row>
    <row r="158" spans="1:4" x14ac:dyDescent="0.25">
      <c r="A158" s="5">
        <v>1.9987507807620153E-2</v>
      </c>
      <c r="B158" s="5">
        <v>-2.1582733812949617E-2</v>
      </c>
      <c r="C158" s="5">
        <v>2.4079807361541139E-3</v>
      </c>
      <c r="D158" s="5">
        <v>-1.0551463268962724E-2</v>
      </c>
    </row>
    <row r="159" spans="1:4" x14ac:dyDescent="0.25">
      <c r="A159" s="5">
        <v>-1.5309246785058184E-2</v>
      </c>
      <c r="B159" s="5">
        <v>3.9915966386554702E-2</v>
      </c>
      <c r="C159" s="5">
        <v>2.916952642415982E-3</v>
      </c>
      <c r="D159" s="5">
        <v>6.8410462776660186E-3</v>
      </c>
    </row>
    <row r="160" spans="1:4" x14ac:dyDescent="0.25">
      <c r="A160" s="5">
        <v>2.0522388059701413E-2</v>
      </c>
      <c r="B160" s="5">
        <v>5.1515151515151514E-2</v>
      </c>
      <c r="C160" s="5">
        <v>1.9797140413051473E-3</v>
      </c>
      <c r="D160" s="5">
        <v>8.792965627498095E-3</v>
      </c>
    </row>
    <row r="161" spans="1:4" x14ac:dyDescent="0.25">
      <c r="A161" s="5">
        <v>-5.4844606946983232E-3</v>
      </c>
      <c r="B161" s="5">
        <v>5.4755043227665778E-2</v>
      </c>
      <c r="C161" s="5">
        <v>2.3904771197189589E-3</v>
      </c>
      <c r="D161" s="5">
        <v>-6.5372424722662803E-3</v>
      </c>
    </row>
    <row r="162" spans="1:4" x14ac:dyDescent="0.25">
      <c r="A162" s="5">
        <v>-1.1948529411764719E-2</v>
      </c>
      <c r="B162" s="5">
        <v>-7.7413479052823586E-3</v>
      </c>
      <c r="C162" s="5">
        <v>-6.5946366866209694E-3</v>
      </c>
      <c r="D162" s="5">
        <v>-1.0368893320039874E-2</v>
      </c>
    </row>
    <row r="163" spans="1:4" x14ac:dyDescent="0.25">
      <c r="A163" s="5">
        <v>-2.356589147286825E-2</v>
      </c>
      <c r="B163" s="5">
        <v>1.9274896741624525E-2</v>
      </c>
      <c r="C163" s="5">
        <v>-1.0753741763221747E-2</v>
      </c>
      <c r="D163" s="5">
        <v>4.0298206729794117E-4</v>
      </c>
    </row>
    <row r="164" spans="1:4" x14ac:dyDescent="0.25">
      <c r="A164" s="5">
        <v>-1.6830739917434112E-2</v>
      </c>
      <c r="B164" s="5">
        <v>-6.303466906798727E-3</v>
      </c>
      <c r="C164" s="5">
        <v>1.4114500792392626E-3</v>
      </c>
      <c r="D164" s="5">
        <v>-1.0674723061430025E-2</v>
      </c>
    </row>
    <row r="165" spans="1:4" x14ac:dyDescent="0.25">
      <c r="A165" s="5">
        <v>-3.5529715762273595E-3</v>
      </c>
      <c r="B165" s="5">
        <v>2.5826914363389131E-2</v>
      </c>
      <c r="C165" s="5">
        <v>7.9127618011423095E-3</v>
      </c>
      <c r="D165" s="5">
        <v>-5.7003257328990253E-3</v>
      </c>
    </row>
    <row r="166" spans="1:4" x14ac:dyDescent="0.25">
      <c r="A166" s="5">
        <v>4.1166936790923758E-2</v>
      </c>
      <c r="B166" s="5">
        <v>2.2084805653710404E-3</v>
      </c>
      <c r="C166" s="5">
        <v>8.8565049925173334E-3</v>
      </c>
      <c r="D166" s="5">
        <v>7.9852579852579542E-3</v>
      </c>
    </row>
    <row r="167" spans="1:4" x14ac:dyDescent="0.25">
      <c r="A167" s="5">
        <v>-3.1133250311332628E-4</v>
      </c>
      <c r="B167" s="5">
        <v>-1.3221683561040143E-2</v>
      </c>
      <c r="C167" s="5">
        <v>1.5806624191430085E-3</v>
      </c>
      <c r="D167" s="5">
        <v>2.8437944342880606E-3</v>
      </c>
    </row>
    <row r="168" spans="1:4" x14ac:dyDescent="0.25">
      <c r="A168" s="5">
        <v>-1.3391466832762378E-2</v>
      </c>
      <c r="B168" s="5">
        <v>2.2331397945511977E-3</v>
      </c>
      <c r="C168" s="5">
        <v>1.8452424308641469E-3</v>
      </c>
      <c r="D168" s="5">
        <v>-2.2280737289852581E-3</v>
      </c>
    </row>
    <row r="169" spans="1:4" x14ac:dyDescent="0.25">
      <c r="A169" s="5">
        <v>-6.3131313131312705E-3</v>
      </c>
      <c r="B169" s="5">
        <v>-1.7825311942959443E-3</v>
      </c>
      <c r="C169" s="5">
        <v>-5.840583573661684E-3</v>
      </c>
      <c r="D169" s="5">
        <v>5.2781161185546654E-3</v>
      </c>
    </row>
    <row r="170" spans="1:4" x14ac:dyDescent="0.25">
      <c r="A170" s="5">
        <v>3.5895806861499402E-2</v>
      </c>
      <c r="B170" s="5">
        <v>1.9642857142857073E-2</v>
      </c>
      <c r="C170" s="5">
        <v>8.8732875042660808E-3</v>
      </c>
      <c r="D170" s="5">
        <v>4.6445880452341548E-3</v>
      </c>
    </row>
    <row r="171" spans="1:4" x14ac:dyDescent="0.25">
      <c r="A171" s="5">
        <v>-1.3492793621588506E-2</v>
      </c>
      <c r="B171" s="5">
        <v>-7.8809106830122211E-3</v>
      </c>
      <c r="C171" s="5">
        <v>4.5909244672110994E-3</v>
      </c>
      <c r="D171" s="5">
        <v>-1.3266331658291497E-2</v>
      </c>
    </row>
    <row r="172" spans="1:4" x14ac:dyDescent="0.25">
      <c r="A172" s="5">
        <v>1.3366490519117091E-2</v>
      </c>
      <c r="B172" s="5">
        <v>-1.4121800529567574E-2</v>
      </c>
      <c r="C172" s="5">
        <v>-1.7077159899941963E-3</v>
      </c>
      <c r="D172" s="5">
        <v>1.2222448563863342E-3</v>
      </c>
    </row>
    <row r="173" spans="1:4" x14ac:dyDescent="0.25">
      <c r="A173" s="5">
        <v>-6.7484662576686727E-3</v>
      </c>
      <c r="B173" s="5">
        <v>-7.1620411817368002E-3</v>
      </c>
      <c r="C173" s="5">
        <v>1.0601132393688317E-3</v>
      </c>
      <c r="D173" s="5">
        <v>-6.9175991861647468E-3</v>
      </c>
    </row>
    <row r="174" spans="1:4" x14ac:dyDescent="0.25">
      <c r="A174" s="5">
        <v>3.7059913526868993E-3</v>
      </c>
      <c r="B174" s="5">
        <v>1.352569882777277E-2</v>
      </c>
      <c r="C174" s="5">
        <v>2.9844280247419697E-3</v>
      </c>
      <c r="D174" s="5">
        <v>-3.6877688998155911E-3</v>
      </c>
    </row>
    <row r="175" spans="1:4" x14ac:dyDescent="0.25">
      <c r="A175" s="5">
        <v>2.4000000000000021E-2</v>
      </c>
      <c r="B175" s="5">
        <v>-1.4679715302491125E-2</v>
      </c>
      <c r="C175" s="5">
        <v>-3.8394164087063309E-4</v>
      </c>
      <c r="D175" s="5">
        <v>-5.7577626979230523E-3</v>
      </c>
    </row>
    <row r="176" spans="1:4" x14ac:dyDescent="0.25">
      <c r="A176" s="5">
        <v>-2.7944711538461564E-2</v>
      </c>
      <c r="B176" s="5">
        <v>4.0632054176072963E-3</v>
      </c>
      <c r="C176" s="5">
        <v>-3.6968576709797141E-3</v>
      </c>
      <c r="D176" s="5">
        <v>-5.170630816959676E-3</v>
      </c>
    </row>
    <row r="177" spans="1:4" x14ac:dyDescent="0.25">
      <c r="A177" s="5">
        <v>-4.9459041731066966E-3</v>
      </c>
      <c r="B177" s="5">
        <v>4.4964028776979248E-3</v>
      </c>
      <c r="C177" s="5">
        <v>-9.6378575042765924E-4</v>
      </c>
      <c r="D177" s="5">
        <v>1.6632016632016633E-3</v>
      </c>
    </row>
    <row r="178" spans="1:4" x14ac:dyDescent="0.25">
      <c r="A178" s="5">
        <v>-7.1450761105933402E-3</v>
      </c>
      <c r="B178" s="5">
        <v>-4.4762757385854446E-3</v>
      </c>
      <c r="C178" s="5">
        <v>-4.4859272122133032E-3</v>
      </c>
      <c r="D178" s="5">
        <v>3.3208800332087396E-3</v>
      </c>
    </row>
    <row r="179" spans="1:4" x14ac:dyDescent="0.25">
      <c r="A179" s="5">
        <v>-1.4392991239048802E-2</v>
      </c>
      <c r="B179" s="5">
        <v>-1.5287769784172678E-2</v>
      </c>
      <c r="C179" s="5">
        <v>-7.7282748261743306E-3</v>
      </c>
      <c r="D179" s="5">
        <v>-2.0686801820438694E-3</v>
      </c>
    </row>
    <row r="180" spans="1:4" x14ac:dyDescent="0.25">
      <c r="A180" s="5">
        <v>1.9365079365079474E-2</v>
      </c>
      <c r="B180" s="5">
        <v>-3.6073059360730575E-2</v>
      </c>
      <c r="C180" s="5">
        <v>2.3438644465061387E-3</v>
      </c>
      <c r="D180" s="5">
        <v>-1.3681592039801016E-2</v>
      </c>
    </row>
    <row r="181" spans="1:4" x14ac:dyDescent="0.25">
      <c r="A181" s="5">
        <v>4.9828713796324919E-3</v>
      </c>
      <c r="B181" s="5">
        <v>6.6319279962103739E-3</v>
      </c>
      <c r="C181" s="5">
        <v>-5.1882885955083502E-3</v>
      </c>
      <c r="D181" s="5">
        <v>1.8915510718788831E-3</v>
      </c>
    </row>
    <row r="182" spans="1:4" x14ac:dyDescent="0.25">
      <c r="A182" s="5">
        <v>-3.0988534242326615E-4</v>
      </c>
      <c r="B182" s="5">
        <v>3.2470588235294029E-2</v>
      </c>
      <c r="C182" s="5">
        <v>8.3494527558090059E-3</v>
      </c>
      <c r="D182" s="5">
        <v>-2.3075309418921774E-3</v>
      </c>
    </row>
    <row r="183" spans="1:4" x14ac:dyDescent="0.25">
      <c r="A183" s="5">
        <v>-4.1537507749535019E-2</v>
      </c>
      <c r="B183" s="5">
        <v>2.4612579762989917E-2</v>
      </c>
      <c r="C183" s="5">
        <v>-1.7240541984362423E-3</v>
      </c>
      <c r="D183" s="5">
        <v>6.3078216989076452E-4</v>
      </c>
    </row>
    <row r="184" spans="1:4" x14ac:dyDescent="0.25">
      <c r="A184" s="5">
        <v>-1.0996119016817629E-2</v>
      </c>
      <c r="B184" s="5">
        <v>-1.7793594306049876E-2</v>
      </c>
      <c r="C184" s="5">
        <v>-9.8027291965654406E-3</v>
      </c>
      <c r="D184" s="5">
        <v>2.7316663164529409E-3</v>
      </c>
    </row>
    <row r="185" spans="1:4" x14ac:dyDescent="0.25">
      <c r="A185" s="5">
        <v>-4.2511445389142866E-3</v>
      </c>
      <c r="B185" s="5">
        <v>-1.9021739130434812E-2</v>
      </c>
      <c r="C185" s="5">
        <v>-1.6335855360125828E-2</v>
      </c>
      <c r="D185" s="5">
        <v>-6.2866722548198251E-3</v>
      </c>
    </row>
    <row r="186" spans="1:4" x14ac:dyDescent="0.25">
      <c r="A186" s="5">
        <v>6.568144499179418E-4</v>
      </c>
      <c r="B186" s="5">
        <v>-4.4321329639889218E-2</v>
      </c>
      <c r="C186" s="5">
        <v>-9.7395300052438571E-4</v>
      </c>
      <c r="D186" s="5">
        <v>-1.2442007591733417E-2</v>
      </c>
    </row>
    <row r="187" spans="1:4" x14ac:dyDescent="0.25">
      <c r="A187" s="5">
        <v>9.8457499179516184E-4</v>
      </c>
      <c r="B187" s="5">
        <v>-8.6956521739129933E-3</v>
      </c>
      <c r="C187" s="5">
        <v>9.6490350964903993E-3</v>
      </c>
      <c r="D187" s="5">
        <v>-4.2707666026053914E-4</v>
      </c>
    </row>
    <row r="188" spans="1:4" x14ac:dyDescent="0.25">
      <c r="A188" s="5">
        <v>-2.0000000000000018E-2</v>
      </c>
      <c r="B188" s="5">
        <v>9.74658869395717E-3</v>
      </c>
      <c r="C188" s="5">
        <v>1.2082198564000945E-2</v>
      </c>
      <c r="D188" s="5">
        <v>-7.4770348216193216E-3</v>
      </c>
    </row>
    <row r="189" spans="1:4" x14ac:dyDescent="0.25">
      <c r="A189" s="5">
        <v>-7.0257611241217877E-3</v>
      </c>
      <c r="B189" s="5">
        <v>9.6525096525090781E-4</v>
      </c>
      <c r="C189" s="5">
        <v>1.6634864719409226E-3</v>
      </c>
      <c r="D189" s="5">
        <v>-1.6788635385277639E-2</v>
      </c>
    </row>
    <row r="190" spans="1:4" x14ac:dyDescent="0.25">
      <c r="A190" s="5">
        <v>0</v>
      </c>
      <c r="B190" s="5">
        <v>-4.8698167791706881E-2</v>
      </c>
      <c r="C190" s="5">
        <v>-2.8329995603966207E-3</v>
      </c>
      <c r="D190" s="5">
        <v>-9.6322241681261467E-3</v>
      </c>
    </row>
    <row r="191" spans="1:4" x14ac:dyDescent="0.25">
      <c r="A191" s="5">
        <v>-1.0444743935309919E-2</v>
      </c>
      <c r="B191" s="5">
        <v>3.6492650785605596E-2</v>
      </c>
      <c r="C191" s="5">
        <v>-1.9985304922850888E-2</v>
      </c>
      <c r="D191" s="5">
        <v>6.6312997347479641E-3</v>
      </c>
    </row>
    <row r="192" spans="1:4" x14ac:dyDescent="0.25">
      <c r="A192" s="5">
        <v>-1.5662240381341452E-2</v>
      </c>
      <c r="B192" s="5">
        <v>1.2224938875305513E-2</v>
      </c>
      <c r="C192" s="5">
        <v>-1.6994052081771294E-3</v>
      </c>
      <c r="D192" s="5">
        <v>7.2463768115942351E-3</v>
      </c>
    </row>
    <row r="193" spans="1:4" x14ac:dyDescent="0.25">
      <c r="A193" s="5">
        <v>1.937046004842613E-2</v>
      </c>
      <c r="B193" s="5">
        <v>1.7874396135265647E-2</v>
      </c>
      <c r="C193" s="5">
        <v>-1.2667100585790791E-2</v>
      </c>
      <c r="D193" s="5">
        <v>1.1772400261608862E-2</v>
      </c>
    </row>
    <row r="194" spans="1:4" x14ac:dyDescent="0.25">
      <c r="A194" s="5">
        <v>-4.7505938242280443E-3</v>
      </c>
      <c r="B194" s="5">
        <v>-1.1390602752728962E-2</v>
      </c>
      <c r="C194" s="5">
        <v>1.1967545638945198E-2</v>
      </c>
      <c r="D194" s="5">
        <v>3.0165912518853588E-3</v>
      </c>
    </row>
    <row r="195" spans="1:4" x14ac:dyDescent="0.25">
      <c r="A195" s="5">
        <v>1.1592226389362414E-2</v>
      </c>
      <c r="B195" s="5">
        <v>-6.2409985597695616E-3</v>
      </c>
      <c r="C195" s="5">
        <v>-1.2302064541992341E-2</v>
      </c>
      <c r="D195" s="5">
        <v>-8.5929108485494066E-4</v>
      </c>
    </row>
    <row r="196" spans="1:4" x14ac:dyDescent="0.25">
      <c r="A196" s="5">
        <v>3.707448601280694E-3</v>
      </c>
      <c r="B196" s="5">
        <v>-1.4492753623188692E-3</v>
      </c>
      <c r="C196" s="5">
        <v>9.7156337992441166E-3</v>
      </c>
      <c r="D196" s="5">
        <v>-1.0750376263168882E-3</v>
      </c>
    </row>
    <row r="197" spans="1:4" x14ac:dyDescent="0.25">
      <c r="A197" s="5">
        <v>1.8804566823371394E-2</v>
      </c>
      <c r="B197" s="5">
        <v>1.3062409288824295E-2</v>
      </c>
      <c r="C197" s="5">
        <v>4.4467892674102671E-3</v>
      </c>
      <c r="D197" s="5">
        <v>-7.3181231166594696E-3</v>
      </c>
    </row>
    <row r="198" spans="1:4" x14ac:dyDescent="0.25">
      <c r="A198" s="5">
        <v>1.9775873434411118E-3</v>
      </c>
      <c r="B198" s="5">
        <v>3.8681948424068802E-2</v>
      </c>
      <c r="C198" s="5">
        <v>8.6040869412971066E-3</v>
      </c>
      <c r="D198" s="5">
        <v>1.0841283607979202E-2</v>
      </c>
    </row>
    <row r="199" spans="1:4" x14ac:dyDescent="0.25">
      <c r="A199" s="5">
        <v>8.881578947368407E-3</v>
      </c>
      <c r="B199" s="5">
        <v>5.057471264367841E-3</v>
      </c>
      <c r="C199" s="5">
        <v>-1.8846869187848503E-3</v>
      </c>
      <c r="D199" s="5">
        <v>4.933504933504862E-3</v>
      </c>
    </row>
    <row r="200" spans="1:4" x14ac:dyDescent="0.25">
      <c r="A200" s="5">
        <v>-2.934463645255958E-3</v>
      </c>
      <c r="B200" s="5">
        <v>1.6468435498627532E-2</v>
      </c>
      <c r="C200" s="5">
        <v>-7.2796839673034963E-3</v>
      </c>
      <c r="D200" s="5">
        <v>8.1109925293489926E-3</v>
      </c>
    </row>
    <row r="201" spans="1:4" x14ac:dyDescent="0.25">
      <c r="A201" s="5">
        <v>1.8312622629169439E-2</v>
      </c>
      <c r="B201" s="5">
        <v>3.1503150315030926E-3</v>
      </c>
      <c r="C201" s="5">
        <v>-2.0022024226649116E-3</v>
      </c>
      <c r="D201" s="5">
        <v>2.117298327334316E-2</v>
      </c>
    </row>
    <row r="202" spans="1:4" x14ac:dyDescent="0.25">
      <c r="A202" s="5">
        <v>3.2434168272318598E-2</v>
      </c>
      <c r="B202" s="5">
        <v>-8.5240017945267255E-3</v>
      </c>
      <c r="C202" s="5">
        <v>3.2099508476275407E-3</v>
      </c>
      <c r="D202" s="5">
        <v>9.1229525191789396E-3</v>
      </c>
    </row>
    <row r="203" spans="1:4" x14ac:dyDescent="0.25">
      <c r="A203" s="5">
        <v>2.1772939346811793E-2</v>
      </c>
      <c r="B203" s="5">
        <v>2.6696832579185426E-2</v>
      </c>
      <c r="C203" s="5">
        <v>1.6798320167983105E-2</v>
      </c>
      <c r="D203" s="5">
        <v>5.5475652352579008E-3</v>
      </c>
    </row>
    <row r="204" spans="1:4" x14ac:dyDescent="0.25">
      <c r="A204" s="5">
        <v>-1.0045662100456654E-2</v>
      </c>
      <c r="B204" s="5">
        <v>1.7628911414719894E-3</v>
      </c>
      <c r="C204" s="5">
        <v>7.7932933425115536E-3</v>
      </c>
      <c r="D204" s="5">
        <v>1.042092357989377E-2</v>
      </c>
    </row>
    <row r="205" spans="1:4" x14ac:dyDescent="0.25">
      <c r="A205" s="5">
        <v>-9.2250922509224953E-3</v>
      </c>
      <c r="B205" s="5">
        <v>1.9357677078750468E-2</v>
      </c>
      <c r="C205" s="5">
        <v>3.0493011001877512E-3</v>
      </c>
      <c r="D205" s="5">
        <v>1.1526794742163782E-2</v>
      </c>
    </row>
    <row r="206" spans="1:4" x14ac:dyDescent="0.25">
      <c r="A206" s="5">
        <v>8.6902545003104681E-3</v>
      </c>
      <c r="B206" s="5">
        <v>6.6896849374190825E-2</v>
      </c>
      <c r="C206" s="5">
        <v>7.7824796925920481E-3</v>
      </c>
      <c r="D206" s="5">
        <v>-8.7964814074370512E-3</v>
      </c>
    </row>
    <row r="207" spans="1:4" x14ac:dyDescent="0.25">
      <c r="A207" s="5">
        <v>1.1076923076922984E-2</v>
      </c>
      <c r="B207" s="5">
        <v>-1.0922330097087429E-2</v>
      </c>
      <c r="C207" s="5">
        <v>3.8853226507071792E-3</v>
      </c>
      <c r="D207" s="5">
        <v>-8.0677692617990848E-3</v>
      </c>
    </row>
    <row r="208" spans="1:4" x14ac:dyDescent="0.25">
      <c r="A208" s="5">
        <v>-3.9561777236761797E-3</v>
      </c>
      <c r="B208" s="5">
        <v>2.0040899795501055E-2</v>
      </c>
      <c r="C208" s="5">
        <v>2.451982018798482E-3</v>
      </c>
      <c r="D208" s="5">
        <v>6.1000406669378116E-3</v>
      </c>
    </row>
    <row r="209" spans="1:4" x14ac:dyDescent="0.25">
      <c r="A209" s="5">
        <v>7.9437824625725462E-3</v>
      </c>
      <c r="B209" s="5">
        <v>2.5260625501202894E-2</v>
      </c>
      <c r="C209" s="5">
        <v>-1.0071700918443671E-3</v>
      </c>
      <c r="D209" s="5">
        <v>6.6693613581245703E-3</v>
      </c>
    </row>
    <row r="210" spans="1:4" x14ac:dyDescent="0.25">
      <c r="A210" s="5">
        <v>1.3943619278569352E-2</v>
      </c>
      <c r="B210" s="5">
        <v>1.0168165819319563E-2</v>
      </c>
      <c r="C210" s="5">
        <v>5.1849540315418441E-3</v>
      </c>
      <c r="D210" s="5">
        <v>2.4091547881950337E-3</v>
      </c>
    </row>
    <row r="211" spans="1:4" x14ac:dyDescent="0.25">
      <c r="A211" s="5">
        <v>-5.9790732436472149E-3</v>
      </c>
      <c r="B211" s="5">
        <v>2.2067363530778206E-2</v>
      </c>
      <c r="C211" s="5">
        <v>9.5522388059698926E-4</v>
      </c>
      <c r="D211" s="5">
        <v>-4.005607850990911E-4</v>
      </c>
    </row>
    <row r="212" spans="1:4" x14ac:dyDescent="0.25">
      <c r="A212" s="5">
        <v>-4.5112781954886882E-3</v>
      </c>
      <c r="B212" s="5">
        <v>7.575757575757569E-3</v>
      </c>
      <c r="C212" s="5">
        <v>-4.3421209590838172E-3</v>
      </c>
      <c r="D212" s="5">
        <v>3.005409737527609E-3</v>
      </c>
    </row>
    <row r="213" spans="1:4" x14ac:dyDescent="0.25">
      <c r="A213" s="5">
        <v>-1.5407854984894276E-2</v>
      </c>
      <c r="B213" s="5">
        <v>0.12030075187969924</v>
      </c>
      <c r="C213" s="5">
        <v>9.7764359140248835E-3</v>
      </c>
      <c r="D213" s="5">
        <v>7.3911306432281609E-3</v>
      </c>
    </row>
    <row r="214" spans="1:4" x14ac:dyDescent="0.25">
      <c r="A214" s="5">
        <v>-2.700214789812827E-2</v>
      </c>
      <c r="B214" s="5">
        <v>-1.6778523489933139E-3</v>
      </c>
      <c r="C214" s="5">
        <v>1.7797394461451788E-3</v>
      </c>
      <c r="D214" s="5">
        <v>-6.9403133055720989E-3</v>
      </c>
    </row>
    <row r="215" spans="1:4" x14ac:dyDescent="0.25">
      <c r="A215" s="5">
        <v>4.7303689687796524E-3</v>
      </c>
      <c r="B215" s="5">
        <v>3.529411764705892E-2</v>
      </c>
      <c r="C215" s="5">
        <v>2.1082054197461009E-3</v>
      </c>
      <c r="D215" s="5">
        <v>-6.389776357827448E-3</v>
      </c>
    </row>
    <row r="216" spans="1:4" x14ac:dyDescent="0.25">
      <c r="A216" s="5">
        <v>-1.0357815442561202E-2</v>
      </c>
      <c r="B216" s="5">
        <v>-4.5454545454545192E-3</v>
      </c>
      <c r="C216" s="5">
        <v>3.8766103297482868E-3</v>
      </c>
      <c r="D216" s="5">
        <v>3.416398713826263E-3</v>
      </c>
    </row>
    <row r="217" spans="1:4" x14ac:dyDescent="0.25">
      <c r="A217" s="5">
        <v>1.0466222645099998E-2</v>
      </c>
      <c r="B217" s="5">
        <v>-3.9138943248532287E-2</v>
      </c>
      <c r="C217" s="5">
        <v>6.0279262520896992E-3</v>
      </c>
      <c r="D217" s="5">
        <v>-9.0126176647306044E-3</v>
      </c>
    </row>
    <row r="218" spans="1:4" x14ac:dyDescent="0.25">
      <c r="A218" s="5">
        <v>-3.4526051475204378E-3</v>
      </c>
      <c r="B218" s="5">
        <v>3.1568228105906204E-2</v>
      </c>
      <c r="C218" s="5">
        <v>4.681100058513854E-3</v>
      </c>
      <c r="D218" s="5">
        <v>4.0420371867422311E-4</v>
      </c>
    </row>
    <row r="219" spans="1:4" x14ac:dyDescent="0.25">
      <c r="A219" s="5">
        <v>3.1496062992125928E-2</v>
      </c>
      <c r="B219" s="5">
        <v>0</v>
      </c>
      <c r="C219" s="5">
        <v>3.4012813046011559E-3</v>
      </c>
      <c r="D219" s="5">
        <v>-5.050505050505083E-3</v>
      </c>
    </row>
    <row r="220" spans="1:4" x14ac:dyDescent="0.25">
      <c r="A220" s="5">
        <v>4.5801526717557106E-3</v>
      </c>
      <c r="B220" s="5">
        <v>-1.2175057584731808E-2</v>
      </c>
      <c r="C220" s="5">
        <v>1.2073088621114003E-3</v>
      </c>
      <c r="D220" s="5">
        <v>-5.6852791878172493E-3</v>
      </c>
    </row>
    <row r="221" spans="1:4" x14ac:dyDescent="0.25">
      <c r="A221" s="5">
        <v>1.2765957446808418E-2</v>
      </c>
      <c r="B221" s="5">
        <v>5.9960026648899767E-3</v>
      </c>
      <c r="C221" s="5">
        <v>-3.5016116689469134E-3</v>
      </c>
      <c r="D221" s="5">
        <v>-2.552583214212778E-2</v>
      </c>
    </row>
    <row r="222" spans="1:4" x14ac:dyDescent="0.25">
      <c r="A222" s="5">
        <v>1.7707082833133159E-2</v>
      </c>
      <c r="B222" s="5">
        <v>-3.1125827814569518E-2</v>
      </c>
      <c r="C222" s="5">
        <v>-8.0517546309224475E-3</v>
      </c>
      <c r="D222" s="5">
        <v>-8.5917854149203388E-3</v>
      </c>
    </row>
    <row r="223" spans="1:4" x14ac:dyDescent="0.25">
      <c r="A223" s="5">
        <v>2.3296962547920907E-2</v>
      </c>
      <c r="B223" s="5">
        <v>8.2706766917293173E-2</v>
      </c>
      <c r="C223" s="5">
        <v>3.2843804250926034E-4</v>
      </c>
      <c r="D223" s="5">
        <v>8.6662439230607013E-3</v>
      </c>
    </row>
    <row r="224" spans="1:4" x14ac:dyDescent="0.25">
      <c r="A224" s="5">
        <v>2.0172910662823451E-3</v>
      </c>
      <c r="B224" s="5">
        <v>4.1035353535353591E-2</v>
      </c>
      <c r="C224" s="5">
        <v>7.4343339587241708E-3</v>
      </c>
      <c r="D224" s="5">
        <v>-5.4484492875104262E-3</v>
      </c>
    </row>
    <row r="225" spans="1:4" x14ac:dyDescent="0.25">
      <c r="A225" s="5">
        <v>3.7388553350590215E-3</v>
      </c>
      <c r="B225" s="5">
        <v>-3.0927835051546393E-2</v>
      </c>
      <c r="C225" s="5">
        <v>4.655818609307083E-4</v>
      </c>
      <c r="D225" s="5">
        <v>1.6856300042140671E-2</v>
      </c>
    </row>
    <row r="226" spans="1:4" x14ac:dyDescent="0.25">
      <c r="A226" s="5">
        <v>-1.7478510028653305E-2</v>
      </c>
      <c r="B226" s="5">
        <v>-6.5707133917396465E-3</v>
      </c>
      <c r="C226" s="5">
        <v>3.8159946017637392E-3</v>
      </c>
      <c r="D226" s="5">
        <v>7.0451719850808114E-3</v>
      </c>
    </row>
    <row r="227" spans="1:4" x14ac:dyDescent="0.25">
      <c r="A227" s="5">
        <v>7.8740157480314821E-3</v>
      </c>
      <c r="B227" s="5">
        <v>2.8976377952755872E-2</v>
      </c>
      <c r="C227" s="5">
        <v>-2.410699798335636E-3</v>
      </c>
      <c r="D227" s="5">
        <v>5.1440329218106484E-3</v>
      </c>
    </row>
    <row r="228" spans="1:4" x14ac:dyDescent="0.25">
      <c r="A228" s="5">
        <v>-9.2592592592593004E-3</v>
      </c>
      <c r="B228" s="5">
        <v>-3.5812672176308569E-2</v>
      </c>
      <c r="C228" s="5">
        <v>3.4621372307548359E-3</v>
      </c>
      <c r="D228" s="5">
        <v>-1.1258955987717534E-2</v>
      </c>
    </row>
    <row r="229" spans="1:4" x14ac:dyDescent="0.25">
      <c r="A229" s="5">
        <v>-1.6647196261682207E-2</v>
      </c>
      <c r="B229" s="5">
        <v>5.9682539682539781E-2</v>
      </c>
      <c r="C229" s="5">
        <v>-1.8756078358727057E-3</v>
      </c>
      <c r="D229" s="5">
        <v>-1.5734989648033104E-2</v>
      </c>
    </row>
    <row r="230" spans="1:4" x14ac:dyDescent="0.25">
      <c r="A230" s="5">
        <v>-1.9899019899019876E-2</v>
      </c>
      <c r="B230" s="5">
        <v>-2.0970641102456611E-2</v>
      </c>
      <c r="C230" s="5">
        <v>-2.6447047906275056E-3</v>
      </c>
      <c r="D230" s="5">
        <v>-1.3883045856121212E-2</v>
      </c>
    </row>
    <row r="231" spans="1:4" x14ac:dyDescent="0.25">
      <c r="A231" s="5">
        <v>-1.5151515151515138E-2</v>
      </c>
      <c r="B231" s="5">
        <v>-3.8249694002447931E-2</v>
      </c>
      <c r="C231" s="5">
        <v>1.3025982182317541E-3</v>
      </c>
      <c r="D231" s="5">
        <v>-2.4957337883959041E-2</v>
      </c>
    </row>
    <row r="232" spans="1:4" x14ac:dyDescent="0.25">
      <c r="A232" s="5">
        <v>-2.461538461538515E-3</v>
      </c>
      <c r="B232" s="5">
        <v>2.2271714922049046E-2</v>
      </c>
      <c r="C232" s="5">
        <v>2.4624247915070452E-3</v>
      </c>
      <c r="D232" s="5">
        <v>-1.2032378035440772E-2</v>
      </c>
    </row>
    <row r="233" spans="1:4" x14ac:dyDescent="0.25">
      <c r="A233" s="5">
        <v>-9.2535471930906832E-3</v>
      </c>
      <c r="B233" s="5">
        <v>-4.4817927170868299E-2</v>
      </c>
      <c r="C233" s="5">
        <v>-2.1759784951220107E-2</v>
      </c>
      <c r="D233" s="5">
        <v>1.5057573073516295E-2</v>
      </c>
    </row>
    <row r="234" spans="1:4" x14ac:dyDescent="0.25">
      <c r="A234" s="5">
        <v>3.1133250311321525E-4</v>
      </c>
      <c r="B234" s="5">
        <v>-2.1179537308569585E-2</v>
      </c>
      <c r="C234" s="5">
        <v>1.2081300042639853E-2</v>
      </c>
      <c r="D234" s="5">
        <v>1.0689354275741803E-2</v>
      </c>
    </row>
    <row r="235" spans="1:4" x14ac:dyDescent="0.25">
      <c r="A235" s="5">
        <v>-1.0270774976657293E-2</v>
      </c>
      <c r="B235" s="5">
        <v>7.9560585885485979E-2</v>
      </c>
      <c r="C235" s="5">
        <v>-1.9146147364478949E-2</v>
      </c>
      <c r="D235" s="5">
        <v>-3.2376429958990149E-3</v>
      </c>
    </row>
    <row r="236" spans="1:4" x14ac:dyDescent="0.25">
      <c r="A236" s="5">
        <v>-3.0503144654088099E-2</v>
      </c>
      <c r="B236" s="5">
        <v>-1.8501387604070274E-2</v>
      </c>
      <c r="C236" s="5">
        <v>-1.1501932897437173E-2</v>
      </c>
      <c r="D236" s="5">
        <v>-9.9610220874837285E-3</v>
      </c>
    </row>
    <row r="237" spans="1:4" x14ac:dyDescent="0.25">
      <c r="A237" s="5">
        <v>-1.2001297437560843E-2</v>
      </c>
      <c r="B237" s="5">
        <v>-4.2098649073201377E-2</v>
      </c>
      <c r="C237" s="5">
        <v>1.5256855928930113E-2</v>
      </c>
      <c r="D237" s="5">
        <v>9.8425196850393526E-3</v>
      </c>
    </row>
    <row r="238" spans="1:4" x14ac:dyDescent="0.25">
      <c r="A238" s="5">
        <v>7.5508864084044003E-3</v>
      </c>
      <c r="B238" s="5">
        <v>-9.5113151853066791E-3</v>
      </c>
      <c r="C238" s="5">
        <v>-8.8453490583982886E-3</v>
      </c>
      <c r="D238" s="5">
        <v>1.8193632228719947E-2</v>
      </c>
    </row>
    <row r="239" spans="1:4" x14ac:dyDescent="0.25">
      <c r="A239" s="5">
        <v>1.4011078527207621E-2</v>
      </c>
      <c r="B239" s="5">
        <v>-6.7549668874172131E-2</v>
      </c>
      <c r="C239" s="5">
        <v>1.1947030035505124E-2</v>
      </c>
      <c r="D239" s="5">
        <v>1.8081259306530484E-2</v>
      </c>
    </row>
    <row r="240" spans="1:4" x14ac:dyDescent="0.25">
      <c r="A240" s="5">
        <v>7.0694087403599948E-3</v>
      </c>
      <c r="B240" s="5">
        <v>6.3920454545454142E-3</v>
      </c>
      <c r="C240" s="5">
        <v>2.0553790716419273E-2</v>
      </c>
      <c r="D240" s="5">
        <v>9.4024237358962814E-3</v>
      </c>
    </row>
    <row r="241" spans="1:4" x14ac:dyDescent="0.25">
      <c r="A241" s="5">
        <v>4.7862156987874549E-3</v>
      </c>
      <c r="B241" s="5">
        <v>7.4805928016937084E-2</v>
      </c>
      <c r="C241" s="5">
        <v>2.8107505400822852E-3</v>
      </c>
      <c r="D241" s="5">
        <v>5.7959014696751243E-3</v>
      </c>
    </row>
    <row r="242" spans="1:4" x14ac:dyDescent="0.25">
      <c r="A242" s="5">
        <v>-2.5722451571927651E-2</v>
      </c>
      <c r="B242" s="5">
        <v>-6.7957977675640158E-2</v>
      </c>
      <c r="C242" s="5">
        <v>-6.8102849200833981E-3</v>
      </c>
      <c r="D242" s="5">
        <v>-1.6670096727721795E-2</v>
      </c>
    </row>
    <row r="243" spans="1:4" x14ac:dyDescent="0.25">
      <c r="A243" s="5">
        <v>-6.1929595827900918E-3</v>
      </c>
      <c r="B243" s="5">
        <v>-2.0781965480803133E-2</v>
      </c>
      <c r="C243" s="5">
        <v>9.5391361134433694E-3</v>
      </c>
      <c r="D243" s="5">
        <v>-3.2021766429468412E-2</v>
      </c>
    </row>
    <row r="244" spans="1:4" x14ac:dyDescent="0.25">
      <c r="A244" s="5">
        <v>6.5595277140051422E-4</v>
      </c>
      <c r="B244" s="5">
        <v>-2.8776978417266452E-3</v>
      </c>
      <c r="C244" s="5">
        <v>-8.8714335220053675E-3</v>
      </c>
      <c r="D244" s="5">
        <v>3.2432432432432101E-3</v>
      </c>
    </row>
    <row r="245" spans="1:4" x14ac:dyDescent="0.25">
      <c r="A245" s="5">
        <v>-1.3110455588331682E-2</v>
      </c>
      <c r="B245" s="5">
        <v>4.870129870129869E-2</v>
      </c>
      <c r="C245" s="5">
        <v>-6.8063681499265227E-3</v>
      </c>
      <c r="D245" s="5">
        <v>3.0172413793103647E-3</v>
      </c>
    </row>
    <row r="246" spans="1:4" x14ac:dyDescent="0.25">
      <c r="A246" s="5">
        <v>-1.3616738625041536E-2</v>
      </c>
      <c r="B246" s="5">
        <v>1.1351909184726505E-2</v>
      </c>
      <c r="C246" s="5">
        <v>1.5630500598465158E-2</v>
      </c>
      <c r="D246" s="5">
        <v>1.2892135797164528E-3</v>
      </c>
    </row>
    <row r="247" spans="1:4" x14ac:dyDescent="0.25">
      <c r="A247" s="5">
        <v>5.0168350168350084E-2</v>
      </c>
      <c r="B247" s="5">
        <v>8.1632653061225469E-3</v>
      </c>
      <c r="C247" s="5">
        <v>-9.0352397458116629E-3</v>
      </c>
      <c r="D247" s="5">
        <v>-2.1459227467811592E-3</v>
      </c>
    </row>
    <row r="248" spans="1:4" x14ac:dyDescent="0.25">
      <c r="A248" s="5">
        <v>-1.9236934915036752E-3</v>
      </c>
      <c r="B248" s="5">
        <v>4.4197031039136192E-2</v>
      </c>
      <c r="C248" s="5">
        <v>-1.037683051954108E-2</v>
      </c>
      <c r="D248" s="5">
        <v>9.0322580645161299E-3</v>
      </c>
    </row>
    <row r="249" spans="1:4" x14ac:dyDescent="0.25">
      <c r="A249" s="5">
        <v>-1.734661098618695E-2</v>
      </c>
      <c r="B249" s="5">
        <v>-2.0355411954765756E-2</v>
      </c>
      <c r="C249" s="5">
        <v>-1.0815523457197385E-2</v>
      </c>
      <c r="D249" s="5">
        <v>1.4279624893435594E-2</v>
      </c>
    </row>
    <row r="250" spans="1:4" x14ac:dyDescent="0.25">
      <c r="A250" s="5">
        <v>7.5187969924812581E-3</v>
      </c>
      <c r="B250" s="5">
        <v>-1.0554089709762571E-2</v>
      </c>
      <c r="C250" s="5">
        <v>1.4030490709861843E-2</v>
      </c>
      <c r="D250" s="5">
        <v>-4.202563563774353E-4</v>
      </c>
    </row>
    <row r="251" spans="1:4" x14ac:dyDescent="0.25">
      <c r="A251" s="5">
        <v>1.1031797534068799E-2</v>
      </c>
      <c r="B251" s="5">
        <v>-1.3666666666666716E-2</v>
      </c>
      <c r="C251" s="5">
        <v>1.0101247386595791E-2</v>
      </c>
      <c r="D251" s="5">
        <v>3.1532478452807045E-3</v>
      </c>
    </row>
    <row r="252" spans="1:4" x14ac:dyDescent="0.25">
      <c r="A252" s="5">
        <v>4.49293966623876E-3</v>
      </c>
      <c r="B252" s="5">
        <v>-6.0831361946603879E-3</v>
      </c>
      <c r="C252" s="5">
        <v>6.1629340217215223E-3</v>
      </c>
      <c r="D252" s="5">
        <v>1.0687342833193725E-2</v>
      </c>
    </row>
    <row r="253" spans="1:4" x14ac:dyDescent="0.25">
      <c r="A253" s="5">
        <v>9.5846645367414496E-4</v>
      </c>
      <c r="B253" s="5">
        <v>2.4141448486909134E-2</v>
      </c>
      <c r="C253" s="5">
        <v>1.4261279585798814E-2</v>
      </c>
      <c r="D253" s="5">
        <v>-2.0733982998133449E-4</v>
      </c>
    </row>
    <row r="254" spans="1:4" x14ac:dyDescent="0.25">
      <c r="A254" s="5">
        <v>-7.6603894031279651E-3</v>
      </c>
      <c r="B254" s="5">
        <v>-2.7556440903054424E-2</v>
      </c>
      <c r="C254" s="5">
        <v>-7.5203390989264651E-4</v>
      </c>
      <c r="D254" s="5">
        <v>-1.8457071754458765E-2</v>
      </c>
    </row>
    <row r="255" spans="1:4" x14ac:dyDescent="0.25">
      <c r="A255" s="5">
        <v>4.181408813123122E-3</v>
      </c>
      <c r="B255" s="5">
        <v>-5.7698873335609413E-2</v>
      </c>
      <c r="C255" s="5">
        <v>1.2087210363072032E-3</v>
      </c>
      <c r="D255" s="5">
        <v>1.3522079019649302E-2</v>
      </c>
    </row>
    <row r="256" spans="1:4" x14ac:dyDescent="0.25">
      <c r="A256" s="5">
        <v>1.7937219730941756E-2</v>
      </c>
      <c r="B256" s="5">
        <v>2.1014492753623104E-2</v>
      </c>
      <c r="C256" s="5">
        <v>-2.824537026491436E-3</v>
      </c>
      <c r="D256" s="5">
        <v>-2.7100271002710175E-3</v>
      </c>
    </row>
    <row r="257" spans="1:4" x14ac:dyDescent="0.25">
      <c r="A257" s="5">
        <v>7.8665827564505797E-3</v>
      </c>
      <c r="B257" s="5">
        <v>-3.3002129169623862E-2</v>
      </c>
      <c r="C257" s="5">
        <v>-2.7411654521780626E-3</v>
      </c>
      <c r="D257" s="5">
        <v>9.6153846153845812E-3</v>
      </c>
    </row>
    <row r="258" spans="1:4" x14ac:dyDescent="0.25">
      <c r="A258" s="5">
        <v>-2.4352169840774263E-2</v>
      </c>
      <c r="B258" s="5">
        <v>5.5045871559633586E-3</v>
      </c>
      <c r="C258" s="5">
        <v>6.1387635430745213E-3</v>
      </c>
      <c r="D258" s="5">
        <v>-2.0703933747412417E-3</v>
      </c>
    </row>
    <row r="259" spans="1:4" x14ac:dyDescent="0.25">
      <c r="A259" s="5">
        <v>4.1599999999999415E-3</v>
      </c>
      <c r="B259" s="5">
        <v>1.5328467153284731E-2</v>
      </c>
      <c r="C259" s="5">
        <v>-4.0978941377345368E-4</v>
      </c>
      <c r="D259" s="5">
        <v>-2.6970954356846377E-3</v>
      </c>
    </row>
    <row r="260" spans="1:4" x14ac:dyDescent="0.25">
      <c r="A260" s="5">
        <v>-1.6889738687061784E-2</v>
      </c>
      <c r="B260" s="5">
        <v>6.470165348670065E-3</v>
      </c>
      <c r="C260" s="5">
        <v>-1.9154121210740893E-2</v>
      </c>
      <c r="D260" s="5">
        <v>-5.4087788641564716E-3</v>
      </c>
    </row>
    <row r="261" spans="1:4" x14ac:dyDescent="0.25">
      <c r="A261" s="5">
        <v>-3.5332252836304701E-2</v>
      </c>
      <c r="B261" s="5">
        <v>-5.1071428571428545E-2</v>
      </c>
      <c r="C261" s="5">
        <v>-1.3467700738400978E-3</v>
      </c>
      <c r="D261" s="5">
        <v>1.4222965906714125E-2</v>
      </c>
    </row>
    <row r="262" spans="1:4" x14ac:dyDescent="0.25">
      <c r="A262" s="5">
        <v>8.4005376344085114E-3</v>
      </c>
      <c r="B262" s="5">
        <v>1.3925479864508761E-2</v>
      </c>
      <c r="C262" s="5">
        <v>-3.4644717261904656E-3</v>
      </c>
      <c r="D262" s="5">
        <v>-2.8871932357187324E-3</v>
      </c>
    </row>
    <row r="263" spans="1:4" x14ac:dyDescent="0.25">
      <c r="A263" s="5">
        <v>1.6661112962345959E-2</v>
      </c>
      <c r="B263" s="5">
        <v>-3.8604305864884947E-2</v>
      </c>
      <c r="C263" s="5">
        <v>-1.3066100468979158E-3</v>
      </c>
      <c r="D263" s="5">
        <v>-1.7373319544984445E-2</v>
      </c>
    </row>
    <row r="264" spans="1:4" x14ac:dyDescent="0.25">
      <c r="A264" s="5">
        <v>2.0648967551622377E-2</v>
      </c>
      <c r="B264" s="5">
        <v>-3.2046332046332004E-2</v>
      </c>
      <c r="C264" s="5">
        <v>8.7610681494287856E-3</v>
      </c>
      <c r="D264" s="5">
        <v>9.892654178067728E-3</v>
      </c>
    </row>
    <row r="265" spans="1:4" x14ac:dyDescent="0.25">
      <c r="A265" s="5">
        <v>1.8304431599229343E-2</v>
      </c>
      <c r="B265" s="5">
        <v>-3.669724770642202E-2</v>
      </c>
      <c r="C265" s="5">
        <v>2.987632590671252E-3</v>
      </c>
      <c r="D265" s="5">
        <v>-1.8966235931638153E-2</v>
      </c>
    </row>
    <row r="266" spans="1:4" x14ac:dyDescent="0.25">
      <c r="A266" s="5">
        <v>-1.4821822768842585E-2</v>
      </c>
      <c r="B266" s="5">
        <v>-3.2298136645962705E-2</v>
      </c>
      <c r="C266" s="5">
        <v>-1.3785300297873282E-2</v>
      </c>
      <c r="D266" s="5">
        <v>-7.2232844699383625E-3</v>
      </c>
    </row>
    <row r="267" spans="1:4" x14ac:dyDescent="0.25">
      <c r="A267" s="5">
        <v>-8.6427656850192047E-3</v>
      </c>
      <c r="B267" s="5">
        <v>0</v>
      </c>
      <c r="C267" s="5">
        <v>3.0437836572239085E-4</v>
      </c>
      <c r="D267" s="5">
        <v>0</v>
      </c>
    </row>
    <row r="268" spans="1:4" x14ac:dyDescent="0.25">
      <c r="A268" s="5">
        <v>-1.1947045527930245E-2</v>
      </c>
      <c r="B268" s="5">
        <v>-4.4929396662387711E-2</v>
      </c>
      <c r="C268" s="5">
        <v>-1.7531540388081357E-2</v>
      </c>
      <c r="D268" s="5">
        <v>-2.1613524502460901E-2</v>
      </c>
    </row>
    <row r="269" spans="1:4" x14ac:dyDescent="0.25">
      <c r="A269" s="5">
        <v>7.156862745098036E-2</v>
      </c>
      <c r="B269" s="5">
        <v>2.0161290322580738E-2</v>
      </c>
      <c r="C269" s="5">
        <v>-1.0506504026302044E-2</v>
      </c>
      <c r="D269" s="5">
        <v>-1.0279965004374447E-2</v>
      </c>
    </row>
    <row r="270" spans="1:4" x14ac:dyDescent="0.25">
      <c r="A270" s="5">
        <v>-1.4028667276608675E-2</v>
      </c>
      <c r="B270" s="5">
        <v>-3.645147123407988E-2</v>
      </c>
      <c r="C270" s="5">
        <v>-1.1003298581850562E-2</v>
      </c>
      <c r="D270" s="5">
        <v>6.6298342541437627E-4</v>
      </c>
    </row>
    <row r="271" spans="1:4" x14ac:dyDescent="0.25">
      <c r="A271" s="5">
        <v>-2.1033096195484102E-2</v>
      </c>
      <c r="B271" s="5">
        <v>4.1020966271649861E-2</v>
      </c>
      <c r="C271" s="5">
        <v>-1.964650891031261E-2</v>
      </c>
      <c r="D271" s="5">
        <v>1.2367491166077826E-2</v>
      </c>
    </row>
    <row r="272" spans="1:4" x14ac:dyDescent="0.25">
      <c r="A272" s="5">
        <v>-6.3191153238546516E-3</v>
      </c>
      <c r="B272" s="5">
        <v>7.2241681260945656E-2</v>
      </c>
      <c r="C272" s="5">
        <v>4.1719436787603925E-3</v>
      </c>
      <c r="D272" s="5">
        <v>1.6579406631762605E-2</v>
      </c>
    </row>
    <row r="273" spans="1:4" x14ac:dyDescent="0.25">
      <c r="A273" s="5">
        <v>6.6772655007949488E-3</v>
      </c>
      <c r="B273" s="5">
        <v>6.1249489587587025E-3</v>
      </c>
      <c r="C273" s="5">
        <v>-1.214234488216237E-2</v>
      </c>
      <c r="D273" s="5">
        <v>7.9399141630900338E-3</v>
      </c>
    </row>
    <row r="274" spans="1:4" x14ac:dyDescent="0.25">
      <c r="A274" s="5">
        <v>-3.2533164876816123E-2</v>
      </c>
      <c r="B274" s="5">
        <v>2.4350649350649345E-2</v>
      </c>
      <c r="C274" s="5">
        <v>-2.2530416061683489E-3</v>
      </c>
      <c r="D274" s="5">
        <v>-4.2580370449218918E-4</v>
      </c>
    </row>
    <row r="275" spans="1:4" x14ac:dyDescent="0.25">
      <c r="A275" s="5">
        <v>-3.1015344433561909E-2</v>
      </c>
      <c r="B275" s="5">
        <v>-5.1109350237717899E-2</v>
      </c>
      <c r="C275" s="5">
        <v>-5.0682456844640678E-3</v>
      </c>
      <c r="D275" s="5">
        <v>1.0649627263046302E-3</v>
      </c>
    </row>
    <row r="276" spans="1:4" x14ac:dyDescent="0.25">
      <c r="A276" s="5">
        <v>-1.2803234501347682E-2</v>
      </c>
      <c r="B276" s="5">
        <v>1.544885177453037E-2</v>
      </c>
      <c r="C276" s="5">
        <v>2.4512029051293682E-2</v>
      </c>
      <c r="D276" s="5">
        <v>-1.1914893617021249E-2</v>
      </c>
    </row>
    <row r="277" spans="1:4" x14ac:dyDescent="0.25">
      <c r="A277" s="5">
        <v>3.1740614334470951E-2</v>
      </c>
      <c r="B277" s="5">
        <v>1.6858552631578982E-2</v>
      </c>
      <c r="C277" s="5">
        <v>1.8288780583862518E-2</v>
      </c>
      <c r="D277" s="5">
        <v>-9.6899224806201723E-3</v>
      </c>
    </row>
    <row r="278" spans="1:4" x14ac:dyDescent="0.25">
      <c r="A278" s="5">
        <v>9.9239166391003053E-3</v>
      </c>
      <c r="B278" s="5">
        <v>1.5365952284674522E-2</v>
      </c>
      <c r="C278" s="5">
        <v>6.5266262176992829E-3</v>
      </c>
      <c r="D278" s="5">
        <v>2.1743857360290164E-4</v>
      </c>
    </row>
    <row r="279" spans="1:4" x14ac:dyDescent="0.25">
      <c r="A279" s="5">
        <v>3.2754667540124682E-3</v>
      </c>
      <c r="B279" s="5">
        <v>6.3321385902030958E-2</v>
      </c>
      <c r="C279" s="5">
        <v>9.5343307956483603E-3</v>
      </c>
      <c r="D279" s="5">
        <v>-2.1739130434782483E-3</v>
      </c>
    </row>
    <row r="280" spans="1:4" x14ac:dyDescent="0.25">
      <c r="A280" s="5">
        <v>-1.2406137773424697E-2</v>
      </c>
      <c r="B280" s="5">
        <v>-3.2958801498127355E-2</v>
      </c>
      <c r="C280" s="5">
        <v>-2.3241983062137206E-2</v>
      </c>
      <c r="D280" s="5">
        <v>-1.1764705882352899E-2</v>
      </c>
    </row>
    <row r="281" spans="1:4" x14ac:dyDescent="0.25">
      <c r="A281" s="5">
        <v>4.9586776859504855E-3</v>
      </c>
      <c r="B281" s="5">
        <v>-7.2424477149496513E-2</v>
      </c>
      <c r="C281" s="5">
        <v>4.7005528629533444E-3</v>
      </c>
      <c r="D281" s="5">
        <v>-5.5114638447971709E-3</v>
      </c>
    </row>
    <row r="282" spans="1:4" x14ac:dyDescent="0.25">
      <c r="A282" s="5">
        <v>2.960526315789469E-2</v>
      </c>
      <c r="B282" s="5">
        <v>1.3361169102296344E-2</v>
      </c>
      <c r="C282" s="5">
        <v>-3.2968098516436006E-3</v>
      </c>
      <c r="D282" s="5">
        <v>-1.0197295499889125E-2</v>
      </c>
    </row>
    <row r="283" spans="1:4" x14ac:dyDescent="0.25">
      <c r="A283" s="5">
        <v>1.1182108626198062E-2</v>
      </c>
      <c r="B283" s="5">
        <v>9.1882983106716054E-2</v>
      </c>
      <c r="C283" s="5">
        <v>8.0990368712909877E-3</v>
      </c>
      <c r="D283" s="5">
        <v>3.1354983202687148E-3</v>
      </c>
    </row>
    <row r="284" spans="1:4" x14ac:dyDescent="0.25">
      <c r="A284" s="5">
        <v>-1.8957345971564177E-3</v>
      </c>
      <c r="B284" s="5">
        <v>3.7735849056597104E-4</v>
      </c>
      <c r="C284" s="5">
        <v>1.4668628917464899E-2</v>
      </c>
      <c r="D284" s="5">
        <v>-6.251395400759141E-3</v>
      </c>
    </row>
    <row r="285" spans="1:4" x14ac:dyDescent="0.25">
      <c r="A285" s="5">
        <v>-2.8490028490028463E-2</v>
      </c>
      <c r="B285" s="5">
        <v>-7.5443228970199949E-2</v>
      </c>
      <c r="C285" s="5">
        <v>-1.7571391207171216E-2</v>
      </c>
      <c r="D285" s="5">
        <v>3.9991013255448182E-2</v>
      </c>
    </row>
    <row r="286" spans="1:4" x14ac:dyDescent="0.25">
      <c r="A286" s="5">
        <v>5.6695992179863097E-2</v>
      </c>
      <c r="B286" s="5">
        <v>-3.5495716034271707E-2</v>
      </c>
      <c r="C286" s="5">
        <v>-1.9942882036884657E-2</v>
      </c>
      <c r="D286" s="5">
        <v>-6.2648520198747004E-3</v>
      </c>
    </row>
    <row r="287" spans="1:4" x14ac:dyDescent="0.25">
      <c r="A287" s="5">
        <v>2.0351526364477346E-2</v>
      </c>
      <c r="B287" s="5">
        <v>-1.0575296108290999E-2</v>
      </c>
      <c r="C287" s="5">
        <v>-3.2597421840272478E-3</v>
      </c>
      <c r="D287" s="5">
        <v>-1.1304347826086913E-2</v>
      </c>
    </row>
    <row r="288" spans="1:4" x14ac:dyDescent="0.25">
      <c r="A288" s="5">
        <v>-1.8132366273798772E-2</v>
      </c>
      <c r="B288" s="5">
        <v>-4.2753313381787117E-2</v>
      </c>
      <c r="C288" s="5">
        <v>1.6054704920469787E-2</v>
      </c>
      <c r="D288" s="5">
        <v>-1.0114335971855737E-2</v>
      </c>
    </row>
    <row r="289" spans="1:4" x14ac:dyDescent="0.25">
      <c r="A289" s="5">
        <v>3.2009849184364336E-2</v>
      </c>
      <c r="B289" s="5">
        <v>6.0741402411790935E-2</v>
      </c>
      <c r="C289" s="5">
        <v>1.194830529139157E-3</v>
      </c>
      <c r="D289" s="5">
        <v>-3.998223011994706E-3</v>
      </c>
    </row>
    <row r="290" spans="1:4" x14ac:dyDescent="0.25">
      <c r="A290" s="5">
        <v>3.7280047718461162E-2</v>
      </c>
      <c r="B290" s="5">
        <v>1.7263157894736869E-2</v>
      </c>
      <c r="C290" s="5">
        <v>-2.1262086266104818E-2</v>
      </c>
      <c r="D290" s="5">
        <v>1.3826940231935758E-2</v>
      </c>
    </row>
    <row r="291" spans="1:4" x14ac:dyDescent="0.25">
      <c r="A291" s="5">
        <v>-8.050603795284661E-3</v>
      </c>
      <c r="B291" s="5">
        <v>9.5198675496688256E-3</v>
      </c>
      <c r="C291" s="5">
        <v>-6.3952620315532727E-3</v>
      </c>
      <c r="D291" s="5">
        <v>-9.0189177298723999E-3</v>
      </c>
    </row>
    <row r="292" spans="1:4" x14ac:dyDescent="0.25">
      <c r="A292" s="5">
        <v>-1.1304347826086913E-2</v>
      </c>
      <c r="B292" s="5">
        <v>-3.7310373103731087E-2</v>
      </c>
      <c r="C292" s="5">
        <v>-1.0944426356783277E-2</v>
      </c>
      <c r="D292" s="5">
        <v>6.2153163152052215E-3</v>
      </c>
    </row>
    <row r="293" spans="1:4" x14ac:dyDescent="0.25">
      <c r="A293" s="5">
        <v>1.846965699208436E-2</v>
      </c>
      <c r="B293" s="5">
        <v>3.1516183986371349E-2</v>
      </c>
      <c r="C293" s="5">
        <v>-1.8003646308113019E-2</v>
      </c>
      <c r="D293" s="5">
        <v>1.323626737260053E-3</v>
      </c>
    </row>
    <row r="294" spans="1:4" x14ac:dyDescent="0.25">
      <c r="A294" s="5">
        <v>-1.9286125503742091E-2</v>
      </c>
      <c r="B294" s="5">
        <v>-2.1056977704376534E-2</v>
      </c>
      <c r="C294" s="5">
        <v>1.5368350480905679E-2</v>
      </c>
      <c r="D294" s="5">
        <v>2.2912535800837297E-2</v>
      </c>
    </row>
    <row r="295" spans="1:4" x14ac:dyDescent="0.25">
      <c r="A295" s="5">
        <v>9.3924273554446547E-3</v>
      </c>
      <c r="B295" s="5">
        <v>-3.2475748629270385E-2</v>
      </c>
      <c r="C295" s="5">
        <v>2.1840160499784211E-2</v>
      </c>
      <c r="D295" s="5">
        <v>2.5414602627611416E-2</v>
      </c>
    </row>
    <row r="296" spans="1:4" x14ac:dyDescent="0.25">
      <c r="A296" s="5">
        <v>-2.9078220412914746E-4</v>
      </c>
      <c r="B296" s="5">
        <v>-6.9311246730601517E-2</v>
      </c>
      <c r="C296" s="5">
        <v>-2.5101274945945606E-3</v>
      </c>
      <c r="D296" s="5">
        <v>-8.1915563957152271E-3</v>
      </c>
    </row>
    <row r="297" spans="1:4" x14ac:dyDescent="0.25">
      <c r="A297" s="5">
        <v>4.3048283885980254E-2</v>
      </c>
      <c r="B297" s="5">
        <v>7.494145199063329E-3</v>
      </c>
      <c r="C297" s="5">
        <v>-1.4999003388479148E-2</v>
      </c>
      <c r="D297" s="5">
        <v>-2.0542143159678061E-2</v>
      </c>
    </row>
    <row r="298" spans="1:4" x14ac:dyDescent="0.25">
      <c r="A298" s="5">
        <v>-3.6252091466815184E-3</v>
      </c>
      <c r="B298" s="5">
        <v>6.9735006973500768E-2</v>
      </c>
      <c r="C298" s="5">
        <v>1.8363939899832982E-2</v>
      </c>
      <c r="D298" s="5">
        <v>5.1891891891890918E-3</v>
      </c>
    </row>
    <row r="299" spans="1:4" x14ac:dyDescent="0.25">
      <c r="A299" s="5">
        <v>8.1164287713406669E-3</v>
      </c>
      <c r="B299" s="5">
        <v>-1.521077792264236E-2</v>
      </c>
      <c r="C299" s="5">
        <v>-5.0173869846000807E-3</v>
      </c>
      <c r="D299" s="5">
        <v>2.2585502258550161E-2</v>
      </c>
    </row>
    <row r="300" spans="1:4" x14ac:dyDescent="0.25">
      <c r="A300" s="5">
        <v>3.8312048861743442E-2</v>
      </c>
      <c r="B300" s="5">
        <v>-2.4713150926743199E-2</v>
      </c>
      <c r="C300" s="5">
        <v>-8.0882720055919233E-3</v>
      </c>
      <c r="D300" s="5">
        <v>-3.786285233487563E-3</v>
      </c>
    </row>
    <row r="301" spans="1:4" x14ac:dyDescent="0.25">
      <c r="A301" s="5">
        <v>2.5668449197860932E-2</v>
      </c>
      <c r="B301" s="5">
        <v>-3.4841628959276005E-2</v>
      </c>
      <c r="C301" s="5">
        <v>-2.9521316756430216E-2</v>
      </c>
      <c r="D301" s="5">
        <v>1.3935810810810745E-2</v>
      </c>
    </row>
    <row r="302" spans="1:4" x14ac:dyDescent="0.25">
      <c r="A302" s="5">
        <v>5.4744525547445466E-3</v>
      </c>
      <c r="B302" s="5">
        <v>7.6887013595874354E-2</v>
      </c>
      <c r="C302" s="5">
        <v>-7.546484790332153E-3</v>
      </c>
      <c r="D302" s="5">
        <v>1.1870054144106579E-2</v>
      </c>
    </row>
    <row r="303" spans="1:4" x14ac:dyDescent="0.25">
      <c r="A303" s="5">
        <v>-1.1407829919626633E-2</v>
      </c>
      <c r="B303" s="5">
        <v>6.6608619939050984E-2</v>
      </c>
      <c r="C303" s="5">
        <v>2.6652730598379915E-2</v>
      </c>
      <c r="D303" s="5">
        <v>-2.8812512862729234E-3</v>
      </c>
    </row>
    <row r="304" spans="1:4" x14ac:dyDescent="0.25">
      <c r="A304" s="5">
        <v>2.0456333595594067E-2</v>
      </c>
      <c r="B304" s="5">
        <v>1.1020408163265216E-2</v>
      </c>
      <c r="C304" s="5">
        <v>-4.4540595571391783E-3</v>
      </c>
      <c r="D304" s="5">
        <v>-2.2703818369452788E-3</v>
      </c>
    </row>
    <row r="305" spans="1:4" x14ac:dyDescent="0.25">
      <c r="A305" s="5">
        <v>-1.5934207144692847E-2</v>
      </c>
      <c r="B305" s="5">
        <v>6.7823980621719793E-2</v>
      </c>
      <c r="C305" s="5">
        <v>-1.275725425028762E-2</v>
      </c>
      <c r="D305" s="5">
        <v>2.8961522548613949E-3</v>
      </c>
    </row>
    <row r="306" spans="1:4" x14ac:dyDescent="0.25">
      <c r="A306" s="5">
        <v>-4.0741708017759226E-2</v>
      </c>
      <c r="B306" s="5">
        <v>1.0586011342154977E-2</v>
      </c>
      <c r="C306" s="5">
        <v>-7.3026724673710408E-3</v>
      </c>
      <c r="D306" s="5">
        <v>-8.2508250825082952E-3</v>
      </c>
    </row>
    <row r="307" spans="1:4" x14ac:dyDescent="0.25">
      <c r="A307" s="5">
        <v>4.6283691805064642E-3</v>
      </c>
      <c r="B307" s="5">
        <v>-7.8563411896744872E-3</v>
      </c>
      <c r="C307" s="5">
        <v>2.1938748891323634E-2</v>
      </c>
      <c r="D307" s="5">
        <v>-3.1198003327786994E-3</v>
      </c>
    </row>
    <row r="308" spans="1:4" x14ac:dyDescent="0.25">
      <c r="A308" s="5">
        <v>2.9810298102981303E-3</v>
      </c>
      <c r="B308" s="5">
        <v>-3.3559577677224728E-2</v>
      </c>
      <c r="C308" s="5">
        <v>2.2361199744735272E-2</v>
      </c>
      <c r="D308" s="5">
        <v>-1.2726893386188154E-2</v>
      </c>
    </row>
    <row r="309" spans="1:4" x14ac:dyDescent="0.25">
      <c r="A309" s="5">
        <v>1.8643609835179653E-2</v>
      </c>
      <c r="B309" s="5">
        <v>9.8322278579789257E-2</v>
      </c>
      <c r="C309" s="5">
        <v>1.2234401138548456E-2</v>
      </c>
      <c r="D309" s="5">
        <v>6.128486897717611E-3</v>
      </c>
    </row>
    <row r="310" spans="1:4" x14ac:dyDescent="0.25">
      <c r="A310" s="5">
        <v>-1.2732095490716189E-2</v>
      </c>
      <c r="B310" s="5">
        <v>-1.6341030195381911E-2</v>
      </c>
      <c r="C310" s="5">
        <v>1.105054142719708E-2</v>
      </c>
      <c r="D310" s="5">
        <v>4.410838059231148E-3</v>
      </c>
    </row>
    <row r="311" spans="1:4" x14ac:dyDescent="0.25">
      <c r="A311" s="5">
        <v>2.4986566362170892E-2</v>
      </c>
      <c r="B311" s="5">
        <v>1.9140483929216412E-2</v>
      </c>
      <c r="C311" s="5">
        <v>4.8793578764971812E-5</v>
      </c>
      <c r="D311" s="5">
        <v>1.7774989544123709E-2</v>
      </c>
    </row>
    <row r="312" spans="1:4" x14ac:dyDescent="0.25">
      <c r="A312" s="5">
        <v>-1.0222804718217571E-2</v>
      </c>
      <c r="B312" s="5">
        <v>1.5591778880226892E-2</v>
      </c>
      <c r="C312" s="5">
        <v>1.1612305140152657E-2</v>
      </c>
      <c r="D312" s="5">
        <v>8.4240805424284915E-3</v>
      </c>
    </row>
    <row r="313" spans="1:4" x14ac:dyDescent="0.25">
      <c r="A313" s="5">
        <v>2.5423728813559254E-2</v>
      </c>
      <c r="B313" s="5">
        <v>-3.3845080251221238E-2</v>
      </c>
      <c r="C313" s="5">
        <v>-1.2877709986254149E-2</v>
      </c>
      <c r="D313" s="5">
        <v>1.7929910350448219E-2</v>
      </c>
    </row>
    <row r="314" spans="1:4" x14ac:dyDescent="0.25">
      <c r="A314" s="5">
        <v>-4.1322314049586639E-3</v>
      </c>
      <c r="B314" s="5">
        <v>-1.444564824846517E-2</v>
      </c>
      <c r="C314" s="5">
        <v>1.1457748027263959E-2</v>
      </c>
      <c r="D314" s="5">
        <v>-6.4051240992794023E-3</v>
      </c>
    </row>
    <row r="315" spans="1:4" x14ac:dyDescent="0.25">
      <c r="A315" s="5">
        <v>4.1493775933609811E-3</v>
      </c>
      <c r="B315" s="5">
        <v>-2.1253206302675021E-2</v>
      </c>
      <c r="C315" s="5">
        <v>5.0722187333944735E-3</v>
      </c>
      <c r="D315" s="5">
        <v>1.4101531023368308E-2</v>
      </c>
    </row>
    <row r="316" spans="1:4" x14ac:dyDescent="0.25">
      <c r="A316" s="5">
        <v>-2.6342975206611552E-2</v>
      </c>
      <c r="B316" s="5">
        <v>2.433545488581057E-2</v>
      </c>
      <c r="C316" s="5">
        <v>6.8970489281938718E-3</v>
      </c>
      <c r="D316" s="5">
        <v>1.9864918553835764E-4</v>
      </c>
    </row>
    <row r="317" spans="1:4" x14ac:dyDescent="0.25">
      <c r="A317" s="5">
        <v>1.379310344827589E-2</v>
      </c>
      <c r="B317" s="5">
        <v>-5.2266081871345071E-2</v>
      </c>
      <c r="C317" s="5">
        <v>1.2649466574381263E-2</v>
      </c>
      <c r="D317" s="5">
        <v>2.7805362462760552E-3</v>
      </c>
    </row>
    <row r="318" spans="1:4" x14ac:dyDescent="0.25">
      <c r="A318" s="5">
        <v>1.125065410779702E-2</v>
      </c>
      <c r="B318" s="5">
        <v>-5.8619359814886196E-2</v>
      </c>
      <c r="C318" s="5">
        <v>-6.2221593721275559E-3</v>
      </c>
      <c r="D318" s="5">
        <v>2.3172905525846721E-2</v>
      </c>
    </row>
    <row r="319" spans="1:4" x14ac:dyDescent="0.25">
      <c r="A319" s="5">
        <v>-7.7619663648124115E-3</v>
      </c>
      <c r="B319" s="5">
        <v>-8.1933633756656743E-3</v>
      </c>
      <c r="C319" s="5">
        <v>-1.536819637139808E-2</v>
      </c>
      <c r="D319" s="5">
        <v>1.0065814943863716E-2</v>
      </c>
    </row>
    <row r="320" spans="1:4" x14ac:dyDescent="0.25">
      <c r="A320" s="5">
        <v>2.9726205997392396E-2</v>
      </c>
      <c r="B320" s="5">
        <v>-4.5022717885171426E-2</v>
      </c>
      <c r="C320" s="5">
        <v>2.7699496591757633E-3</v>
      </c>
      <c r="D320" s="5">
        <v>5.5576849367573455E-3</v>
      </c>
    </row>
    <row r="321" spans="1:4" x14ac:dyDescent="0.25">
      <c r="A321" s="5">
        <v>-8.8630032919726487E-3</v>
      </c>
      <c r="B321" s="5">
        <v>-5.1903114186851229E-2</v>
      </c>
      <c r="C321" s="5">
        <v>8.4790545734050315E-3</v>
      </c>
      <c r="D321" s="5">
        <v>-1.9820850009529267E-2</v>
      </c>
    </row>
    <row r="322" spans="1:4" x14ac:dyDescent="0.25">
      <c r="A322" s="5">
        <v>-2.1972406745017881E-2</v>
      </c>
      <c r="B322" s="5">
        <v>-1.9160583941605802E-2</v>
      </c>
      <c r="C322" s="5">
        <v>-1.2361557699178238E-2</v>
      </c>
      <c r="D322" s="5">
        <v>-6.8053665175967781E-3</v>
      </c>
    </row>
    <row r="323" spans="1:4" x14ac:dyDescent="0.25">
      <c r="A323" s="5">
        <v>-2.6123301985371272E-3</v>
      </c>
      <c r="B323" s="5">
        <v>3.2558139534883734E-2</v>
      </c>
      <c r="C323" s="5">
        <v>-1.012878020546959E-2</v>
      </c>
      <c r="D323" s="5">
        <v>2.603758809710266E-2</v>
      </c>
    </row>
    <row r="324" spans="1:4" x14ac:dyDescent="0.25">
      <c r="A324" s="5">
        <v>1.4405447878470312E-2</v>
      </c>
      <c r="B324" s="5">
        <v>-4.2342342342342354E-2</v>
      </c>
      <c r="C324" s="5">
        <v>5.0431223505336131E-3</v>
      </c>
      <c r="D324" s="5">
        <v>-9.5401640908221452E-4</v>
      </c>
    </row>
    <row r="325" spans="1:4" x14ac:dyDescent="0.25">
      <c r="A325" s="5">
        <v>2.4270591272915087E-2</v>
      </c>
      <c r="B325" s="5">
        <v>2.4459078080903085E-2</v>
      </c>
      <c r="C325" s="5">
        <v>-2.4240661285239717E-3</v>
      </c>
      <c r="D325" s="5">
        <v>-7.6394194041252694E-3</v>
      </c>
    </row>
    <row r="326" spans="1:4" x14ac:dyDescent="0.25">
      <c r="A326" s="5">
        <v>-5.5457524577766648E-3</v>
      </c>
      <c r="B326" s="5">
        <v>1.9283746556473913E-2</v>
      </c>
      <c r="C326" s="5">
        <v>-1.7325589871941327E-2</v>
      </c>
      <c r="D326" s="5">
        <v>1.1354888375673555E-2</v>
      </c>
    </row>
    <row r="327" spans="1:4" x14ac:dyDescent="0.25">
      <c r="A327" s="5">
        <v>8.8719898605829073E-3</v>
      </c>
      <c r="B327" s="5">
        <v>-3.2432432432432434E-2</v>
      </c>
      <c r="C327" s="5">
        <v>-3.659742828882262E-3</v>
      </c>
      <c r="D327" s="5">
        <v>1.255946717411982E-2</v>
      </c>
    </row>
    <row r="328" spans="1:4" x14ac:dyDescent="0.25">
      <c r="A328" s="5">
        <v>2.2361809045226222E-2</v>
      </c>
      <c r="B328" s="5">
        <v>-6.0521415270018641E-2</v>
      </c>
      <c r="C328" s="5">
        <v>1.1292564280750428E-2</v>
      </c>
      <c r="D328" s="5">
        <v>1.5034767900770074E-3</v>
      </c>
    </row>
    <row r="329" spans="1:4" x14ac:dyDescent="0.25">
      <c r="A329" s="5">
        <v>4.1779306955025408E-3</v>
      </c>
      <c r="B329" s="5">
        <v>-3.2705649157581784E-2</v>
      </c>
      <c r="C329" s="5">
        <v>-1.2148133604927946E-2</v>
      </c>
      <c r="D329" s="5">
        <v>-1.8765246762994958E-2</v>
      </c>
    </row>
    <row r="330" spans="1:4" x14ac:dyDescent="0.25">
      <c r="A330" s="5">
        <v>2.4473813020065016E-4</v>
      </c>
      <c r="B330" s="5">
        <v>1.9467213114754189E-2</v>
      </c>
      <c r="C330" s="5">
        <v>1.7390440226572323E-4</v>
      </c>
      <c r="D330" s="5">
        <v>3.8248231019322176E-4</v>
      </c>
    </row>
    <row r="331" spans="1:4" x14ac:dyDescent="0.25">
      <c r="A331" s="5">
        <v>-2.8627355028137957E-2</v>
      </c>
      <c r="B331" s="5">
        <v>-5.577889447236184E-2</v>
      </c>
      <c r="C331" s="5">
        <v>1.5971583993641181E-2</v>
      </c>
      <c r="D331" s="5">
        <v>-1.0323073982030251E-2</v>
      </c>
    </row>
    <row r="332" spans="1:4" x14ac:dyDescent="0.25">
      <c r="A332" s="5">
        <v>1.0831234256927003E-2</v>
      </c>
      <c r="B332" s="5">
        <v>-2.0223523150612044E-2</v>
      </c>
      <c r="C332" s="5">
        <v>-7.5790914869688919E-4</v>
      </c>
      <c r="D332" s="5">
        <v>-6.9538342669499542E-3</v>
      </c>
    </row>
    <row r="333" spans="1:4" x14ac:dyDescent="0.25">
      <c r="A333" s="5">
        <v>-5.0834786942437038E-2</v>
      </c>
      <c r="B333" s="5">
        <v>7.4416078218359605E-2</v>
      </c>
      <c r="C333" s="5">
        <v>-1.4827139047246196E-2</v>
      </c>
      <c r="D333" s="5">
        <v>1.2837969266679572E-2</v>
      </c>
    </row>
    <row r="334" spans="1:4" x14ac:dyDescent="0.25">
      <c r="A334" s="5">
        <v>-3.0191651352060922E-2</v>
      </c>
      <c r="B334" s="5">
        <v>-6.2184024266936255E-2</v>
      </c>
      <c r="C334" s="5">
        <v>-2.7294176083447197E-2</v>
      </c>
      <c r="D334" s="5">
        <v>-2.054926061071638E-2</v>
      </c>
    </row>
    <row r="335" spans="1:4" x14ac:dyDescent="0.25">
      <c r="A335" s="5">
        <v>-3.4380075798592258E-2</v>
      </c>
      <c r="B335" s="5">
        <v>5.2830188679245271E-2</v>
      </c>
      <c r="C335" s="5">
        <v>5.4639227901751575E-3</v>
      </c>
      <c r="D335" s="5">
        <v>-6.6666666666667096E-3</v>
      </c>
    </row>
    <row r="336" spans="1:4" x14ac:dyDescent="0.25">
      <c r="A336" s="5">
        <v>-2.1586767591813882E-2</v>
      </c>
      <c r="B336" s="5">
        <v>3.5842293906809264E-3</v>
      </c>
      <c r="C336" s="5">
        <v>-2.8593194514982212E-2</v>
      </c>
      <c r="D336" s="5">
        <v>3.5530990919858674E-3</v>
      </c>
    </row>
    <row r="337" spans="1:4" x14ac:dyDescent="0.25">
      <c r="A337" s="5">
        <v>-5.7306590257879542E-3</v>
      </c>
      <c r="B337" s="5">
        <v>3.7244897959183731E-2</v>
      </c>
      <c r="C337" s="5">
        <v>2.587964657290831E-3</v>
      </c>
      <c r="D337" s="5">
        <v>1.3768686073957426E-2</v>
      </c>
    </row>
    <row r="338" spans="1:4" x14ac:dyDescent="0.25">
      <c r="A338" s="5">
        <v>2.0461095100864579E-2</v>
      </c>
      <c r="B338" s="5">
        <v>-7.3290703393999013E-2</v>
      </c>
      <c r="C338" s="5">
        <v>2.5056710035720853E-2</v>
      </c>
      <c r="D338" s="5">
        <v>-1.2223515715948818E-2</v>
      </c>
    </row>
    <row r="339" spans="1:4" x14ac:dyDescent="0.25">
      <c r="A339" s="5">
        <v>-1.1861056198813946E-2</v>
      </c>
      <c r="B339" s="5">
        <v>-8.4925690021231404E-3</v>
      </c>
      <c r="C339" s="5">
        <v>-3.672991809533499E-2</v>
      </c>
      <c r="D339" s="5">
        <v>-2.0821056766843427E-2</v>
      </c>
    </row>
    <row r="340" spans="1:4" x14ac:dyDescent="0.25">
      <c r="A340" s="5">
        <v>-1.2575021434695577E-2</v>
      </c>
      <c r="B340" s="5">
        <v>-9.2612419700214166E-2</v>
      </c>
      <c r="C340" s="5">
        <v>6.2846580406654695E-3</v>
      </c>
      <c r="D340" s="5">
        <v>1.1835506519558781E-2</v>
      </c>
    </row>
    <row r="341" spans="1:4" x14ac:dyDescent="0.25">
      <c r="A341" s="5">
        <v>1.6208393632416884E-2</v>
      </c>
      <c r="B341" s="5">
        <v>3.775811209439528E-2</v>
      </c>
      <c r="C341" s="5">
        <v>4.3297995171618364E-3</v>
      </c>
      <c r="D341" s="5">
        <v>-1.4076130055511449E-2</v>
      </c>
    </row>
    <row r="342" spans="1:4" x14ac:dyDescent="0.25">
      <c r="A342" s="5">
        <v>1.9082882369695353E-2</v>
      </c>
      <c r="B342" s="5">
        <v>-5.4576463899943195E-2</v>
      </c>
      <c r="C342" s="5">
        <v>3.0334700702845385E-2</v>
      </c>
      <c r="D342" s="5">
        <v>-1.0456464910516772E-2</v>
      </c>
    </row>
    <row r="343" spans="1:4" x14ac:dyDescent="0.25">
      <c r="A343" s="5">
        <v>-3.2140860816098349E-2</v>
      </c>
      <c r="B343" s="5">
        <v>-2.7059530968129852E-2</v>
      </c>
      <c r="C343" s="5">
        <v>-3.5121975959831575E-2</v>
      </c>
      <c r="D343" s="5">
        <v>-1.0160536476325754E-3</v>
      </c>
    </row>
    <row r="344" spans="1:4" x14ac:dyDescent="0.25">
      <c r="A344" s="5">
        <v>-1.1261911637308719E-2</v>
      </c>
      <c r="B344" s="5">
        <v>9.4561186650185425E-2</v>
      </c>
      <c r="C344" s="5">
        <v>-6.2813740177140032E-3</v>
      </c>
      <c r="D344" s="5">
        <v>3.8649308380798164E-3</v>
      </c>
    </row>
    <row r="345" spans="1:4" x14ac:dyDescent="0.25">
      <c r="A345" s="5">
        <v>-5.8703271028037407E-2</v>
      </c>
      <c r="B345" s="5">
        <v>-2.540937323546022E-2</v>
      </c>
      <c r="C345" s="5">
        <v>-3.2266596138587622E-2</v>
      </c>
      <c r="D345" s="5">
        <v>1.0131712259371373E-3</v>
      </c>
    </row>
    <row r="346" spans="1:4" x14ac:dyDescent="0.25">
      <c r="A346" s="5">
        <v>-1.6754576481538885E-2</v>
      </c>
      <c r="B346" s="5">
        <v>5.330243337195828E-2</v>
      </c>
      <c r="C346" s="5">
        <v>2.5690079256628362E-3</v>
      </c>
      <c r="D346" s="5">
        <v>-0.11376518218623477</v>
      </c>
    </row>
    <row r="347" spans="1:4" x14ac:dyDescent="0.25">
      <c r="A347" s="5">
        <v>-1.2622278321237079E-3</v>
      </c>
      <c r="B347" s="5">
        <v>-6.8206820682068181E-2</v>
      </c>
      <c r="C347" s="5">
        <v>-1.611056591429505E-2</v>
      </c>
      <c r="D347" s="5">
        <v>-6.7839195979899514E-2</v>
      </c>
    </row>
    <row r="348" spans="1:4" x14ac:dyDescent="0.25">
      <c r="A348" s="5">
        <v>-4.6445497630331789E-2</v>
      </c>
      <c r="B348" s="5">
        <v>1.0625737898465104E-2</v>
      </c>
      <c r="C348" s="5">
        <v>-7.7577369573045285E-4</v>
      </c>
      <c r="D348" s="5">
        <v>-2.7444253859348233E-2</v>
      </c>
    </row>
    <row r="349" spans="1:4" x14ac:dyDescent="0.25">
      <c r="A349" s="5">
        <v>2.3194168323392939E-2</v>
      </c>
      <c r="B349" s="5">
        <v>-2.5116822429906538E-2</v>
      </c>
      <c r="C349" s="5">
        <v>2.359628448634421E-2</v>
      </c>
      <c r="D349" s="5">
        <v>1.0078105316200237E-3</v>
      </c>
    </row>
    <row r="350" spans="1:4" x14ac:dyDescent="0.25">
      <c r="A350" s="5">
        <v>9.7150259067357858E-3</v>
      </c>
      <c r="B350" s="5">
        <v>1.2582384661473878E-2</v>
      </c>
      <c r="C350" s="5">
        <v>-3.5756853396901045E-3</v>
      </c>
      <c r="D350" s="5">
        <v>2.8693682355902306E-2</v>
      </c>
    </row>
    <row r="351" spans="1:4" x14ac:dyDescent="0.25">
      <c r="A351" s="5">
        <v>1.9243104554200752E-3</v>
      </c>
      <c r="B351" s="5">
        <v>-4.4378698224852076E-2</v>
      </c>
      <c r="C351" s="5">
        <v>2.0008699434536759E-2</v>
      </c>
      <c r="D351" s="5">
        <v>1.2478590653290933E-2</v>
      </c>
    </row>
    <row r="352" spans="1:4" x14ac:dyDescent="0.25">
      <c r="A352" s="5">
        <v>-2.5288092189500677E-2</v>
      </c>
      <c r="B352" s="5">
        <v>5.139318885448918E-2</v>
      </c>
      <c r="C352" s="5">
        <v>-3.960554371002134E-2</v>
      </c>
      <c r="D352" s="5">
        <v>-6.2832286128564618E-3</v>
      </c>
    </row>
    <row r="353" spans="1:4" x14ac:dyDescent="0.25">
      <c r="A353" s="5">
        <v>5.5829228243021278E-2</v>
      </c>
      <c r="B353" s="5">
        <v>5.1236749116607694E-2</v>
      </c>
      <c r="C353" s="5">
        <v>-6.6881278792251253E-3</v>
      </c>
      <c r="D353" s="5">
        <v>2.1400778210116655E-2</v>
      </c>
    </row>
    <row r="354" spans="1:4" x14ac:dyDescent="0.25">
      <c r="A354" s="5">
        <v>-2.7993779160186971E-3</v>
      </c>
      <c r="B354" s="5">
        <v>5.3781512605042048E-2</v>
      </c>
      <c r="C354" s="5">
        <v>2.5144581342728678E-4</v>
      </c>
      <c r="D354" s="5">
        <v>1.9761904761904869E-2</v>
      </c>
    </row>
    <row r="355" spans="1:4" x14ac:dyDescent="0.25">
      <c r="A355" s="5">
        <v>5.926388022457818E-3</v>
      </c>
      <c r="B355" s="5">
        <v>-7.4428495481126955E-3</v>
      </c>
      <c r="C355" s="5">
        <v>1.8965420926205345E-2</v>
      </c>
      <c r="D355" s="5">
        <v>1.167406023815154E-3</v>
      </c>
    </row>
    <row r="356" spans="1:4" x14ac:dyDescent="0.25">
      <c r="A356" s="5">
        <v>1.5193798449612439E-2</v>
      </c>
      <c r="B356" s="5">
        <v>-1.8746652383502926E-2</v>
      </c>
      <c r="C356" s="5">
        <v>-7.209232203064575E-3</v>
      </c>
      <c r="D356" s="5">
        <v>-2.4720149253731338E-2</v>
      </c>
    </row>
    <row r="357" spans="1:4" x14ac:dyDescent="0.25">
      <c r="A357" s="5">
        <v>-4.5815516188149052E-3</v>
      </c>
      <c r="B357" s="5">
        <v>6.9323144104803447E-2</v>
      </c>
      <c r="C357" s="5">
        <v>8.3383952730686772E-3</v>
      </c>
      <c r="D357" s="5">
        <v>1.6260162601626105E-2</v>
      </c>
    </row>
    <row r="358" spans="1:4" x14ac:dyDescent="0.25">
      <c r="A358" s="5">
        <v>-6.1368517950290968E-3</v>
      </c>
      <c r="B358" s="5">
        <v>-4.44104134762634E-2</v>
      </c>
      <c r="C358" s="5">
        <v>1.9879518072289049E-2</v>
      </c>
      <c r="D358" s="5">
        <v>-1.7176470588235349E-2</v>
      </c>
    </row>
    <row r="359" spans="1:4" x14ac:dyDescent="0.25">
      <c r="A359" s="5">
        <v>3.7048471750540379E-3</v>
      </c>
      <c r="B359" s="5">
        <v>3.739316239316226E-3</v>
      </c>
      <c r="C359" s="5">
        <v>2.5076518283842608E-2</v>
      </c>
      <c r="D359" s="5">
        <v>-3.5910940866650254E-3</v>
      </c>
    </row>
    <row r="360" spans="1:4" x14ac:dyDescent="0.25">
      <c r="A360" s="5">
        <v>-2.399261765610583E-2</v>
      </c>
      <c r="B360" s="5">
        <v>7.4507716870675367E-3</v>
      </c>
      <c r="C360" s="5">
        <v>-5.5526453640649676E-3</v>
      </c>
      <c r="D360" s="5">
        <v>-1.2013455069677992E-2</v>
      </c>
    </row>
    <row r="361" spans="1:4" x14ac:dyDescent="0.25">
      <c r="A361" s="5">
        <v>7.8789788843365294E-3</v>
      </c>
      <c r="B361" s="5">
        <v>-1.4791336502905428E-2</v>
      </c>
      <c r="C361" s="5">
        <v>-8.3754740834386388E-3</v>
      </c>
      <c r="D361" s="5">
        <v>-8.5116731517509425E-3</v>
      </c>
    </row>
    <row r="362" spans="1:4" x14ac:dyDescent="0.25">
      <c r="A362" s="5">
        <v>4.2839274546591533E-2</v>
      </c>
      <c r="B362" s="5">
        <v>-3.2171581769437019E-2</v>
      </c>
      <c r="C362" s="5">
        <v>1.8990703851261559E-2</v>
      </c>
      <c r="D362" s="5">
        <v>-1.0546970811871503E-2</v>
      </c>
    </row>
    <row r="363" spans="1:4" x14ac:dyDescent="0.25">
      <c r="A363" s="5">
        <v>-2.3688155922038989E-2</v>
      </c>
      <c r="B363" s="5">
        <v>-5.9833795013850444E-2</v>
      </c>
      <c r="C363" s="5">
        <v>-1.6186628437377837E-2</v>
      </c>
      <c r="D363" s="5">
        <v>5.701536936043583E-3</v>
      </c>
    </row>
    <row r="364" spans="1:4" x14ac:dyDescent="0.25">
      <c r="A364" s="5">
        <v>-1.0442260442260487E-2</v>
      </c>
      <c r="B364" s="5">
        <v>-7.7784325279905753E-2</v>
      </c>
      <c r="C364" s="5">
        <v>2.7289105553200965E-3</v>
      </c>
      <c r="D364" s="5">
        <v>-1.8979541533152622E-2</v>
      </c>
    </row>
    <row r="365" spans="1:4" x14ac:dyDescent="0.25">
      <c r="A365" s="5">
        <v>9.6213531967721533E-3</v>
      </c>
      <c r="B365" s="5">
        <v>1.2140575079872207E-2</v>
      </c>
      <c r="C365" s="5">
        <v>9.7762041905566921E-3</v>
      </c>
      <c r="D365" s="5">
        <v>5.0251256281397261E-4</v>
      </c>
    </row>
    <row r="366" spans="1:4" x14ac:dyDescent="0.25">
      <c r="A366" s="5">
        <v>-6.7629880110666729E-3</v>
      </c>
      <c r="B366" s="5">
        <v>4.3560606060605966E-2</v>
      </c>
      <c r="C366" s="5">
        <v>-1.0937540884946473E-2</v>
      </c>
      <c r="D366" s="5">
        <v>-7.5339025615273059E-4</v>
      </c>
    </row>
    <row r="367" spans="1:4" x14ac:dyDescent="0.25">
      <c r="A367" s="5">
        <v>-3.7759207675642226E-2</v>
      </c>
      <c r="B367" s="5">
        <v>-5.6261343012704135E-2</v>
      </c>
      <c r="C367" s="5">
        <v>-2.3519140718008424E-2</v>
      </c>
      <c r="D367" s="5">
        <v>1.0555415933651613E-2</v>
      </c>
    </row>
    <row r="368" spans="1:4" x14ac:dyDescent="0.25">
      <c r="A368" s="5">
        <v>4.760373110324867E-2</v>
      </c>
      <c r="B368" s="5">
        <v>1.7948717948717885E-2</v>
      </c>
      <c r="C368" s="5">
        <v>-2.9341641831482024E-2</v>
      </c>
      <c r="D368" s="5">
        <v>-1.9398159661775716E-2</v>
      </c>
    </row>
    <row r="369" spans="1:4" x14ac:dyDescent="0.25">
      <c r="A369" s="5">
        <v>-6.4476512127724872E-2</v>
      </c>
      <c r="B369" s="5">
        <v>4.3450881612090653E-2</v>
      </c>
      <c r="C369" s="5">
        <v>-3.8546347726574948E-2</v>
      </c>
      <c r="D369" s="5">
        <v>3.2716205934567588E-2</v>
      </c>
    </row>
    <row r="370" spans="1:4" x14ac:dyDescent="0.25">
      <c r="A370" s="5">
        <v>-2.5270758122743708E-2</v>
      </c>
      <c r="B370" s="5">
        <v>-1.2673506336753126E-2</v>
      </c>
      <c r="C370" s="5">
        <v>-2.4966614410961707E-3</v>
      </c>
      <c r="D370" s="5">
        <v>-1.2033398821218122E-2</v>
      </c>
    </row>
    <row r="371" spans="1:4" x14ac:dyDescent="0.25">
      <c r="A371" s="5">
        <v>1.6498316498316568E-2</v>
      </c>
      <c r="B371" s="5">
        <v>-7.9462102689487057E-3</v>
      </c>
      <c r="C371" s="5">
        <v>1.431897555296846E-2</v>
      </c>
      <c r="D371" s="5">
        <v>2.4359930400198904E-2</v>
      </c>
    </row>
    <row r="372" spans="1:4" x14ac:dyDescent="0.25">
      <c r="A372" s="5">
        <v>1.8880423981450845E-2</v>
      </c>
      <c r="B372" s="5">
        <v>5.5452865064695045E-2</v>
      </c>
      <c r="C372" s="5">
        <v>-3.2853207850338628E-2</v>
      </c>
      <c r="D372" s="5">
        <v>7.2797864595974815E-4</v>
      </c>
    </row>
    <row r="373" spans="1:4" x14ac:dyDescent="0.25">
      <c r="A373" s="5">
        <v>-1.2028608582574818E-2</v>
      </c>
      <c r="B373" s="5">
        <v>-1.5178050204319948E-2</v>
      </c>
      <c r="C373" s="5">
        <v>2.6107336754976895E-3</v>
      </c>
      <c r="D373" s="5">
        <v>3.1522793404461513E-3</v>
      </c>
    </row>
    <row r="374" spans="1:4" x14ac:dyDescent="0.25">
      <c r="A374" s="5">
        <v>3.6196117143796336E-3</v>
      </c>
      <c r="B374" s="5">
        <v>-5.2756372258446982E-2</v>
      </c>
      <c r="C374" s="5">
        <v>2.4500665778961483E-2</v>
      </c>
      <c r="D374" s="5">
        <v>-1.4019821126420084E-2</v>
      </c>
    </row>
    <row r="375" spans="1:4" x14ac:dyDescent="0.25">
      <c r="A375" s="5">
        <v>-1.3770491803278717E-2</v>
      </c>
      <c r="B375" s="5">
        <v>-2.7534418022528206E-2</v>
      </c>
      <c r="C375" s="5">
        <v>-2.1084250353811118E-3</v>
      </c>
      <c r="D375" s="5">
        <v>-3.6773719048786013E-3</v>
      </c>
    </row>
    <row r="376" spans="1:4" x14ac:dyDescent="0.25">
      <c r="A376" s="5">
        <v>-3.8896276595744683E-2</v>
      </c>
      <c r="B376" s="5">
        <v>-2.4453024453024441E-2</v>
      </c>
      <c r="C376" s="5">
        <v>1.0506512301013071E-2</v>
      </c>
      <c r="D376" s="5">
        <v>-2.7066929133858775E-3</v>
      </c>
    </row>
    <row r="377" spans="1:4" x14ac:dyDescent="0.25">
      <c r="A377" s="5">
        <v>2.5942580421999262E-2</v>
      </c>
      <c r="B377" s="5">
        <v>-4.2216358839050172E-2</v>
      </c>
      <c r="C377" s="5">
        <v>3.1134534414115178E-2</v>
      </c>
      <c r="D377" s="5">
        <v>8.6355785837650689E-3</v>
      </c>
    </row>
    <row r="378" spans="1:4" x14ac:dyDescent="0.25">
      <c r="A378" s="5">
        <v>-6.4059339177343633E-3</v>
      </c>
      <c r="B378" s="5">
        <v>3.0303030303030276E-2</v>
      </c>
      <c r="C378" s="5">
        <v>-3.7500000000000311E-3</v>
      </c>
      <c r="D378" s="5">
        <v>1.3209393346379716E-2</v>
      </c>
    </row>
    <row r="379" spans="1:4" x14ac:dyDescent="0.25">
      <c r="A379" s="5">
        <v>-2.0359687818120142E-2</v>
      </c>
      <c r="B379" s="5">
        <v>1.1363636363636465E-2</v>
      </c>
      <c r="C379" s="5">
        <v>-2.1608810818346535E-2</v>
      </c>
      <c r="D379" s="5">
        <v>7.0014485755673928E-3</v>
      </c>
    </row>
    <row r="380" spans="1:4" x14ac:dyDescent="0.25">
      <c r="A380" s="5">
        <v>-1.4894354000692722E-2</v>
      </c>
      <c r="B380" s="5">
        <v>4.8248512888301454E-2</v>
      </c>
      <c r="C380" s="5">
        <v>-3.5907666001709915E-3</v>
      </c>
      <c r="D380" s="5">
        <v>1.4385039558859614E-3</v>
      </c>
    </row>
    <row r="381" spans="1:4" x14ac:dyDescent="0.25">
      <c r="A381" s="5">
        <v>-3.7271448663853679E-2</v>
      </c>
      <c r="B381" s="5">
        <v>-1.2610340479193294E-3</v>
      </c>
      <c r="C381" s="5">
        <v>-7.8938336574763124E-3</v>
      </c>
      <c r="D381" s="5">
        <v>7.1821881733291626E-4</v>
      </c>
    </row>
    <row r="382" spans="1:4" x14ac:dyDescent="0.25">
      <c r="A382" s="5">
        <v>2.8487947406866221E-2</v>
      </c>
      <c r="B382" s="5">
        <v>-4.3560606060606077E-2</v>
      </c>
      <c r="C382" s="5">
        <v>1.026291512915134E-2</v>
      </c>
      <c r="D382" s="5">
        <v>4.7846889952163352E-4</v>
      </c>
    </row>
    <row r="383" spans="1:4" x14ac:dyDescent="0.25">
      <c r="A383" s="5">
        <v>-4.2613636363636354E-2</v>
      </c>
      <c r="B383" s="5">
        <v>-4.6204620462045876E-3</v>
      </c>
      <c r="C383" s="5">
        <v>1.7692044287180853E-3</v>
      </c>
      <c r="D383" s="5">
        <v>-3.1085604973696279E-3</v>
      </c>
    </row>
    <row r="384" spans="1:4" x14ac:dyDescent="0.25">
      <c r="A384" s="5">
        <v>-6.3056379821958553E-3</v>
      </c>
      <c r="B384" s="5">
        <v>5.3050397877985045E-3</v>
      </c>
      <c r="C384" s="5">
        <v>3.6176152224691727E-3</v>
      </c>
      <c r="D384" s="5">
        <v>2.3986567522187308E-3</v>
      </c>
    </row>
    <row r="385" spans="1:4" x14ac:dyDescent="0.25">
      <c r="A385" s="5">
        <v>1.381112355356473E-2</v>
      </c>
      <c r="B385" s="5">
        <v>1.385224274406327E-2</v>
      </c>
      <c r="C385" s="5">
        <v>1.4673743365594794E-2</v>
      </c>
      <c r="D385" s="5">
        <v>1.9621919119406472E-2</v>
      </c>
    </row>
    <row r="386" spans="1:4" x14ac:dyDescent="0.25">
      <c r="A386" s="5">
        <v>-3.6818851251840812E-3</v>
      </c>
      <c r="B386" s="5">
        <v>2.5374105400130187E-2</v>
      </c>
      <c r="C386" s="5">
        <v>-5.8741258741257241E-4</v>
      </c>
      <c r="D386" s="5">
        <v>9.6221544238441759E-3</v>
      </c>
    </row>
    <row r="387" spans="1:4" x14ac:dyDescent="0.25">
      <c r="A387" s="5">
        <v>-1.5151515151515138E-2</v>
      </c>
      <c r="B387" s="5">
        <v>2.1573604060913798E-2</v>
      </c>
      <c r="C387" s="5">
        <v>-1.1307341375353386E-2</v>
      </c>
      <c r="D387" s="5">
        <v>-2.3245002324500108E-3</v>
      </c>
    </row>
    <row r="388" spans="1:4" x14ac:dyDescent="0.25">
      <c r="A388" s="5">
        <v>-1.4634146341463428E-2</v>
      </c>
      <c r="B388" s="5">
        <v>5.5279503105590155E-2</v>
      </c>
      <c r="C388" s="5">
        <v>-9.2285916489738273E-3</v>
      </c>
      <c r="D388" s="5">
        <v>6.2907735321529046E-3</v>
      </c>
    </row>
    <row r="389" spans="1:4" x14ac:dyDescent="0.25">
      <c r="A389" s="5">
        <v>2.170601675552164E-2</v>
      </c>
      <c r="B389" s="5">
        <v>4.826368452030616E-2</v>
      </c>
      <c r="C389" s="5">
        <v>-4.6572759221692461E-3</v>
      </c>
      <c r="D389" s="5">
        <v>8.3352627923130029E-3</v>
      </c>
    </row>
    <row r="390" spans="1:4" x14ac:dyDescent="0.25">
      <c r="A390" s="5">
        <v>-4.1744316064107334E-2</v>
      </c>
      <c r="B390" s="5">
        <v>1.3475575519371175E-2</v>
      </c>
      <c r="C390" s="5">
        <v>-2.6409461476633034E-3</v>
      </c>
      <c r="D390" s="5">
        <v>1.4466130884041251E-2</v>
      </c>
    </row>
    <row r="391" spans="1:4" x14ac:dyDescent="0.25">
      <c r="A391" s="5">
        <v>-4.667444574095736E-3</v>
      </c>
      <c r="B391" s="5">
        <v>-4.0443213296398883E-2</v>
      </c>
      <c r="C391" s="5">
        <v>1.8909739811190374E-2</v>
      </c>
      <c r="D391" s="5">
        <v>-2.4898143956540997E-3</v>
      </c>
    </row>
    <row r="392" spans="1:4" x14ac:dyDescent="0.25">
      <c r="A392" s="5">
        <v>4.6893317702227932E-3</v>
      </c>
      <c r="B392" s="5">
        <v>-1.7321016166281789E-2</v>
      </c>
      <c r="C392" s="5">
        <v>-8.276602355865692E-3</v>
      </c>
      <c r="D392" s="5">
        <v>-1.3614703880190371E-3</v>
      </c>
    </row>
    <row r="393" spans="1:4" x14ac:dyDescent="0.25">
      <c r="A393" s="5">
        <v>1.2057565149747207E-2</v>
      </c>
      <c r="B393" s="5">
        <v>-2.8789659224441877E-2</v>
      </c>
      <c r="C393" s="5">
        <v>2.7144810299646771E-2</v>
      </c>
      <c r="D393" s="5">
        <v>-7.6119063849125146E-2</v>
      </c>
    </row>
    <row r="394" spans="1:4" x14ac:dyDescent="0.25">
      <c r="A394" s="5">
        <v>-2.9208301306687168E-2</v>
      </c>
      <c r="B394" s="5">
        <v>7.622504537205077E-2</v>
      </c>
      <c r="C394" s="5">
        <v>6.405812373478259E-3</v>
      </c>
      <c r="D394" s="5">
        <v>3.787506148548947E-2</v>
      </c>
    </row>
    <row r="395" spans="1:4" x14ac:dyDescent="0.25">
      <c r="A395" s="5">
        <v>1.9002375296912177E-2</v>
      </c>
      <c r="B395" s="5">
        <v>1.0680157391793177E-2</v>
      </c>
      <c r="C395" s="5">
        <v>1.0112421470296562E-2</v>
      </c>
      <c r="D395" s="5">
        <v>2.4881516587677677E-2</v>
      </c>
    </row>
    <row r="396" spans="1:4" x14ac:dyDescent="0.25">
      <c r="A396" s="5">
        <v>-1.2820512820512775E-2</v>
      </c>
      <c r="B396" s="5">
        <v>1.0011123470522909E-2</v>
      </c>
      <c r="C396" s="5">
        <v>-9.1109959355137882E-3</v>
      </c>
      <c r="D396" s="5">
        <v>1.7803468208092532E-2</v>
      </c>
    </row>
    <row r="397" spans="1:4" x14ac:dyDescent="0.25">
      <c r="A397" s="5">
        <v>-3.2270759543486793E-2</v>
      </c>
      <c r="B397" s="5">
        <v>1.5418502202643181E-2</v>
      </c>
      <c r="C397" s="5">
        <v>9.9105299380597422E-4</v>
      </c>
      <c r="D397" s="5">
        <v>3.6347114947750114E-3</v>
      </c>
    </row>
    <row r="398" spans="1:4" x14ac:dyDescent="0.25">
      <c r="A398" s="5">
        <v>2.074013826758847E-2</v>
      </c>
      <c r="B398" s="5">
        <v>4.8806941431669415E-3</v>
      </c>
      <c r="C398" s="5">
        <v>-1.1990869338026955E-2</v>
      </c>
      <c r="D398" s="5">
        <v>1.1317338162064594E-3</v>
      </c>
    </row>
    <row r="399" spans="1:4" x14ac:dyDescent="0.25">
      <c r="A399" s="5">
        <v>1.7131474103585731E-2</v>
      </c>
      <c r="B399" s="5">
        <v>1.9427954668105762E-2</v>
      </c>
      <c r="C399" s="5">
        <v>2.6193458594293562E-2</v>
      </c>
      <c r="D399" s="5">
        <v>-1.6504634863214962E-2</v>
      </c>
    </row>
    <row r="400" spans="1:4" x14ac:dyDescent="0.25">
      <c r="A400" s="5">
        <v>1.8409714061887961E-2</v>
      </c>
      <c r="B400" s="5">
        <v>1.7469560614081558E-2</v>
      </c>
      <c r="C400" s="5">
        <v>1.2640373243639091E-2</v>
      </c>
      <c r="D400" s="5">
        <v>-3.770114942528735E-2</v>
      </c>
    </row>
    <row r="401" spans="1:4" x14ac:dyDescent="0.25">
      <c r="A401" s="5">
        <v>1.0384615384615437E-2</v>
      </c>
      <c r="B401" s="5">
        <v>-1.1966701352757569E-2</v>
      </c>
      <c r="C401" s="5">
        <v>1.4652309011036202E-2</v>
      </c>
      <c r="D401" s="5">
        <v>7.8834209268991984E-3</v>
      </c>
    </row>
    <row r="402" spans="1:4" x14ac:dyDescent="0.25">
      <c r="A402" s="5">
        <v>-2.2839741149600634E-3</v>
      </c>
      <c r="B402" s="5">
        <v>-6.3191153238546627E-2</v>
      </c>
      <c r="C402" s="5">
        <v>-3.0095831463343714E-3</v>
      </c>
      <c r="D402" s="5">
        <v>8.295804693055242E-3</v>
      </c>
    </row>
    <row r="403" spans="1:4" x14ac:dyDescent="0.25">
      <c r="A403" s="5">
        <v>-1.259061426936281E-2</v>
      </c>
      <c r="B403" s="5">
        <v>-3.9347948285553658E-2</v>
      </c>
      <c r="C403" s="5">
        <v>-6.4610088706473778E-3</v>
      </c>
      <c r="D403" s="5">
        <v>9.873060648801113E-3</v>
      </c>
    </row>
    <row r="404" spans="1:4" x14ac:dyDescent="0.25">
      <c r="A404" s="5">
        <v>-1.3137557959814528E-2</v>
      </c>
      <c r="B404" s="5">
        <v>5.9098888238736214E-2</v>
      </c>
      <c r="C404" s="5">
        <v>1.5617920631113336E-2</v>
      </c>
      <c r="D404" s="5">
        <v>2.0949720670391248E-3</v>
      </c>
    </row>
    <row r="405" spans="1:4" x14ac:dyDescent="0.25">
      <c r="A405" s="5">
        <v>3.4847298355520806E-2</v>
      </c>
      <c r="B405" s="5">
        <v>-8.8397790055249059E-3</v>
      </c>
      <c r="C405" s="5">
        <v>-7.8725693442149858E-4</v>
      </c>
      <c r="D405" s="5">
        <v>5.1103368176539377E-3</v>
      </c>
    </row>
    <row r="406" spans="1:4" x14ac:dyDescent="0.25">
      <c r="A406" s="5">
        <v>-5.6753688989784612E-3</v>
      </c>
      <c r="B406" s="5">
        <v>4.292084726867329E-2</v>
      </c>
      <c r="C406" s="5">
        <v>-2.0747432833468915E-3</v>
      </c>
      <c r="D406" s="5">
        <v>1.8488560203374194E-2</v>
      </c>
    </row>
    <row r="407" spans="1:4" x14ac:dyDescent="0.25">
      <c r="A407" s="5">
        <v>2.7397260273972712E-2</v>
      </c>
      <c r="B407" s="5">
        <v>1.7103153393907E-2</v>
      </c>
      <c r="C407" s="5">
        <v>-8.9478393599662365E-4</v>
      </c>
      <c r="D407" s="5">
        <v>2.9498525073745618E-3</v>
      </c>
    </row>
    <row r="408" spans="1:4" x14ac:dyDescent="0.25">
      <c r="A408" s="5">
        <v>-2.2222222222222365E-3</v>
      </c>
      <c r="B408" s="5">
        <v>-7.8822911192852896E-3</v>
      </c>
      <c r="C408" s="5">
        <v>-3.9511115793909868E-3</v>
      </c>
      <c r="D408" s="5">
        <v>5.1131221719457054E-2</v>
      </c>
    </row>
    <row r="409" spans="1:4" x14ac:dyDescent="0.25">
      <c r="A409" s="5">
        <v>7.0527097253154647E-3</v>
      </c>
      <c r="B409" s="5">
        <v>-2.9131355932203395E-2</v>
      </c>
      <c r="C409" s="5">
        <v>2.0944623684349795E-2</v>
      </c>
      <c r="D409" s="5">
        <v>1.0761945759794056E-3</v>
      </c>
    </row>
    <row r="410" spans="1:4" x14ac:dyDescent="0.25">
      <c r="A410" s="5">
        <v>-1.8798378179137432E-2</v>
      </c>
      <c r="B410" s="5">
        <v>2.4004364429896397E-2</v>
      </c>
      <c r="C410" s="5">
        <v>0</v>
      </c>
      <c r="D410" s="5">
        <v>-3.2251128789507755E-3</v>
      </c>
    </row>
    <row r="411" spans="1:4" x14ac:dyDescent="0.25">
      <c r="A411" s="5">
        <v>2.2539444027047439E-2</v>
      </c>
      <c r="B411" s="5">
        <v>-4.9014384656366539E-2</v>
      </c>
      <c r="C411" s="5">
        <v>1.7121690928871169E-2</v>
      </c>
      <c r="D411" s="5">
        <v>-1.4883520276100071E-2</v>
      </c>
    </row>
    <row r="412" spans="1:4" x14ac:dyDescent="0.25">
      <c r="A412" s="5">
        <v>-2.167523879500366E-2</v>
      </c>
      <c r="B412" s="5">
        <v>-4.5938375350140004E-2</v>
      </c>
      <c r="C412" s="5">
        <v>4.2784017113606243E-3</v>
      </c>
      <c r="D412" s="5">
        <v>-1.7735931683818706E-2</v>
      </c>
    </row>
    <row r="413" spans="1:4" x14ac:dyDescent="0.25">
      <c r="A413" s="5">
        <v>3.7551633496057946E-3</v>
      </c>
      <c r="B413" s="5">
        <v>8.8079859072225375E-3</v>
      </c>
      <c r="C413" s="5">
        <v>1.7497147204259544E-3</v>
      </c>
      <c r="D413" s="5">
        <v>-4.2353990191708046E-3</v>
      </c>
    </row>
    <row r="414" spans="1:4" x14ac:dyDescent="0.25">
      <c r="A414" s="5">
        <v>-3.5540591096146601E-2</v>
      </c>
      <c r="B414" s="5">
        <v>2.3282887077997749E-3</v>
      </c>
      <c r="C414" s="5">
        <v>-6.834750911300147E-3</v>
      </c>
      <c r="D414" s="5">
        <v>7.1636445041414198E-3</v>
      </c>
    </row>
    <row r="415" spans="1:4" x14ac:dyDescent="0.25">
      <c r="A415" s="5">
        <v>1.1636927851046419E-3</v>
      </c>
      <c r="B415" s="5">
        <v>4.006968641114983E-2</v>
      </c>
      <c r="C415" s="5">
        <v>3.0840597440995321E-3</v>
      </c>
      <c r="D415" s="5">
        <v>6.6681484774393507E-3</v>
      </c>
    </row>
    <row r="416" spans="1:4" x14ac:dyDescent="0.25">
      <c r="A416" s="5">
        <v>-2.1697016660209179E-2</v>
      </c>
      <c r="B416" s="5">
        <v>-9.2127303182579556E-2</v>
      </c>
      <c r="C416" s="5">
        <v>-1.3797484436539165E-2</v>
      </c>
      <c r="D416" s="5">
        <v>-3.1353499668801077E-2</v>
      </c>
    </row>
    <row r="417" spans="1:4" x14ac:dyDescent="0.25">
      <c r="A417" s="5">
        <v>7.9207920792079278E-4</v>
      </c>
      <c r="B417" s="5">
        <v>-2.8290282902828978E-2</v>
      </c>
      <c r="C417" s="5">
        <v>-2.1075955889930942E-2</v>
      </c>
      <c r="D417" s="5">
        <v>9.5737405972191603E-3</v>
      </c>
    </row>
    <row r="418" spans="1:4" x14ac:dyDescent="0.25">
      <c r="A418" s="5">
        <v>1.7016224772457456E-2</v>
      </c>
      <c r="B418" s="5">
        <v>-2.0886075949367089E-2</v>
      </c>
      <c r="C418" s="5">
        <v>-2.3687950729062157E-3</v>
      </c>
      <c r="D418" s="5">
        <v>-2.9351998193722917E-3</v>
      </c>
    </row>
    <row r="419" spans="1:4" x14ac:dyDescent="0.25">
      <c r="A419" s="5">
        <v>8.1712062256809048E-3</v>
      </c>
      <c r="B419" s="5">
        <v>-2.4563671622495176E-2</v>
      </c>
      <c r="C419" s="5">
        <v>3.0339805825243538E-3</v>
      </c>
      <c r="D419" s="5">
        <v>4.5289855072461194E-4</v>
      </c>
    </row>
    <row r="420" spans="1:4" x14ac:dyDescent="0.25">
      <c r="A420" s="5">
        <v>8.4909301428020001E-3</v>
      </c>
      <c r="B420" s="5">
        <v>-7.6209410205434036E-2</v>
      </c>
      <c r="C420" s="5">
        <v>1.4571661537652325E-2</v>
      </c>
      <c r="D420" s="5">
        <v>1.4712539610683528E-2</v>
      </c>
    </row>
    <row r="421" spans="1:4" x14ac:dyDescent="0.25">
      <c r="A421" s="5">
        <v>-4.707233065442018E-2</v>
      </c>
      <c r="B421" s="5">
        <v>-2.0803443328550886E-2</v>
      </c>
      <c r="C421" s="5">
        <v>-3.4272677779794147E-2</v>
      </c>
      <c r="D421" s="5">
        <v>-1.1153245594467953E-2</v>
      </c>
    </row>
    <row r="422" spans="1:4" x14ac:dyDescent="0.25">
      <c r="A422" s="5">
        <v>-1.1646586345381515E-2</v>
      </c>
      <c r="B422" s="5">
        <v>-1.318681318681314E-2</v>
      </c>
      <c r="C422" s="5">
        <v>-6.6038495610856174E-3</v>
      </c>
      <c r="D422" s="5">
        <v>-4.9627791563275903E-3</v>
      </c>
    </row>
    <row r="423" spans="1:4" x14ac:dyDescent="0.25">
      <c r="A423" s="5">
        <v>-2.1535960991466929E-2</v>
      </c>
      <c r="B423" s="5">
        <v>1.7817371937639104E-2</v>
      </c>
      <c r="C423" s="5">
        <v>-1.0863396838265094E-2</v>
      </c>
      <c r="D423" s="5">
        <v>2.5844479709816293E-2</v>
      </c>
    </row>
    <row r="424" spans="1:4" x14ac:dyDescent="0.25">
      <c r="A424" s="5">
        <v>-1.1627906976744207E-2</v>
      </c>
      <c r="B424" s="5">
        <v>2.0423048869438354E-2</v>
      </c>
      <c r="C424" s="5">
        <v>-7.8682075239734361E-3</v>
      </c>
      <c r="D424" s="5">
        <v>5.0828729281768847E-3</v>
      </c>
    </row>
    <row r="425" spans="1:4" x14ac:dyDescent="0.25">
      <c r="A425" s="5">
        <v>-3.1092436974789917E-2</v>
      </c>
      <c r="B425" s="5">
        <v>2.8591851322373074E-2</v>
      </c>
      <c r="C425" s="5">
        <v>3.0841250172104484E-3</v>
      </c>
      <c r="D425" s="5">
        <v>2.8583992963939764E-3</v>
      </c>
    </row>
    <row r="426" spans="1:4" x14ac:dyDescent="0.25">
      <c r="A426" s="5">
        <v>3.1656548135299278E-2</v>
      </c>
      <c r="B426" s="5">
        <v>8.3391243919388458E-3</v>
      </c>
      <c r="C426" s="5">
        <v>-1.0486726878414343E-2</v>
      </c>
      <c r="D426" s="5">
        <v>8.9892567419425085E-3</v>
      </c>
    </row>
    <row r="427" spans="1:4" x14ac:dyDescent="0.25">
      <c r="A427" s="5">
        <v>-1.4712063892391769E-2</v>
      </c>
      <c r="B427" s="5">
        <v>-9.510682288077188E-2</v>
      </c>
      <c r="C427" s="5">
        <v>-3.3569149674018695E-3</v>
      </c>
      <c r="D427" s="5">
        <v>-2.0643198609300306E-2</v>
      </c>
    </row>
    <row r="428" spans="1:4" x14ac:dyDescent="0.25">
      <c r="A428" s="5">
        <v>3.7542662116040848E-2</v>
      </c>
      <c r="B428" s="5">
        <v>0</v>
      </c>
      <c r="C428" s="5">
        <v>1.7926734216679563E-2</v>
      </c>
      <c r="D428" s="5">
        <v>-2.2187708009762108E-3</v>
      </c>
    </row>
    <row r="429" spans="1:4" x14ac:dyDescent="0.25">
      <c r="A429" s="5">
        <v>1.6447368421053099E-3</v>
      </c>
      <c r="B429" s="5">
        <v>-1.5232292460015229E-2</v>
      </c>
      <c r="C429" s="5">
        <v>6.5357689783416273E-3</v>
      </c>
      <c r="D429" s="5">
        <v>-1.0673782521681163E-2</v>
      </c>
    </row>
    <row r="430" spans="1:4" x14ac:dyDescent="0.25">
      <c r="A430" s="5">
        <v>3.0377668308702699E-2</v>
      </c>
      <c r="B430" s="5">
        <v>2.088167053364276E-2</v>
      </c>
      <c r="C430" s="5">
        <v>1.5431847202977744E-2</v>
      </c>
      <c r="D430" s="5">
        <v>-2.0229265003371966E-3</v>
      </c>
    </row>
    <row r="431" spans="1:4" x14ac:dyDescent="0.25">
      <c r="A431" s="5">
        <v>1.3944223107569709E-2</v>
      </c>
      <c r="B431" s="5">
        <v>1.3636363636363669E-2</v>
      </c>
      <c r="C431" s="5">
        <v>1.0996655518394682E-2</v>
      </c>
      <c r="D431" s="5">
        <v>8.5585585585585822E-3</v>
      </c>
    </row>
    <row r="432" spans="1:4" x14ac:dyDescent="0.25">
      <c r="A432" s="5">
        <v>-4.0471512770137497E-2</v>
      </c>
      <c r="B432" s="5">
        <v>-1.4947683109118093E-2</v>
      </c>
      <c r="C432" s="5">
        <v>-4.3614036944900181E-2</v>
      </c>
      <c r="D432" s="5">
        <v>-5.8061634658329586E-3</v>
      </c>
    </row>
    <row r="433" spans="1:4" x14ac:dyDescent="0.25">
      <c r="A433" s="5">
        <v>2.0475020475021477E-3</v>
      </c>
      <c r="B433" s="5">
        <v>6.0698027314112224E-3</v>
      </c>
      <c r="C433" s="5">
        <v>3.7356798937406843E-3</v>
      </c>
      <c r="D433" s="5">
        <v>8.9847259658579759E-3</v>
      </c>
    </row>
    <row r="434" spans="1:4" x14ac:dyDescent="0.25">
      <c r="A434" s="5">
        <v>-2.9832447895382086E-2</v>
      </c>
      <c r="B434" s="5">
        <v>-5.2790346907994001E-2</v>
      </c>
      <c r="C434" s="5">
        <v>-1.1165329583988082E-2</v>
      </c>
      <c r="D434" s="5">
        <v>-1.0240427426536081E-2</v>
      </c>
    </row>
    <row r="435" spans="1:4" x14ac:dyDescent="0.25">
      <c r="A435" s="5">
        <v>1.0951979780960297E-2</v>
      </c>
      <c r="B435" s="5">
        <v>-3.1847133757961776E-3</v>
      </c>
      <c r="C435" s="5">
        <v>-7.86216125794581E-3</v>
      </c>
      <c r="D435" s="5">
        <v>-2.496626180836703E-2</v>
      </c>
    </row>
    <row r="436" spans="1:4" x14ac:dyDescent="0.25">
      <c r="A436" s="5">
        <v>1.7500000000000071E-2</v>
      </c>
      <c r="B436" s="5">
        <v>-2.3162939297124652E-2</v>
      </c>
      <c r="C436" s="5">
        <v>7.6715562299780604E-3</v>
      </c>
      <c r="D436" s="5">
        <v>9.6885813148788191E-3</v>
      </c>
    </row>
    <row r="437" spans="1:4" x14ac:dyDescent="0.25">
      <c r="A437" s="5">
        <v>-2.7436527436527469E-2</v>
      </c>
      <c r="B437" s="5">
        <v>1.4717906786590351E-2</v>
      </c>
      <c r="C437" s="5">
        <v>-1.1266348754845334E-2</v>
      </c>
      <c r="D437" s="5">
        <v>-2.7416038382453989E-3</v>
      </c>
    </row>
    <row r="438" spans="1:4" x14ac:dyDescent="0.25">
      <c r="A438" s="5">
        <v>3.3684210526316871E-3</v>
      </c>
      <c r="B438" s="5">
        <v>2.6591458501208809E-2</v>
      </c>
      <c r="C438" s="5">
        <v>-1.7599774361867104E-2</v>
      </c>
      <c r="D438" s="5">
        <v>1.6494845360824684E-2</v>
      </c>
    </row>
    <row r="439" spans="1:4" x14ac:dyDescent="0.25">
      <c r="A439" s="5">
        <v>-3.7767519932857541E-3</v>
      </c>
      <c r="B439" s="5">
        <v>-4.081632653061229E-2</v>
      </c>
      <c r="C439" s="5">
        <v>-8.440756797105986E-3</v>
      </c>
      <c r="D439" s="5">
        <v>-6.5359477124182774E-3</v>
      </c>
    </row>
    <row r="440" spans="1:4" x14ac:dyDescent="0.25">
      <c r="A440" s="5">
        <v>-5.475989890480204E-2</v>
      </c>
      <c r="B440" s="5">
        <v>-6.5466448445171688E-3</v>
      </c>
      <c r="C440" s="5">
        <v>-1.6619856964994018E-2</v>
      </c>
      <c r="D440" s="5">
        <v>-1.928312159709622E-2</v>
      </c>
    </row>
    <row r="441" spans="1:4" x14ac:dyDescent="0.25">
      <c r="A441" s="5">
        <v>-2.5846702317290582E-2</v>
      </c>
      <c r="B441" s="5">
        <v>3.0477759472817167E-2</v>
      </c>
      <c r="C441" s="5">
        <v>-9.6870123369549033E-3</v>
      </c>
      <c r="D441" s="5">
        <v>2.1975479990747226E-2</v>
      </c>
    </row>
    <row r="442" spans="1:4" x14ac:dyDescent="0.25">
      <c r="A442" s="5">
        <v>6.4043915827995956E-3</v>
      </c>
      <c r="B442" s="5">
        <v>5.2757793764987904E-2</v>
      </c>
      <c r="C442" s="5">
        <v>-2.8245228043051185E-3</v>
      </c>
      <c r="D442" s="5">
        <v>1.2901765504753193E-2</v>
      </c>
    </row>
    <row r="443" spans="1:4" x14ac:dyDescent="0.25">
      <c r="A443" s="5">
        <v>7.1818181818181781E-2</v>
      </c>
      <c r="B443" s="5">
        <v>3.0372057706908873E-3</v>
      </c>
      <c r="C443" s="5">
        <v>1.5176361847401454E-2</v>
      </c>
      <c r="D443" s="5">
        <v>-9.8324022346368833E-3</v>
      </c>
    </row>
    <row r="444" spans="1:4" x14ac:dyDescent="0.25">
      <c r="A444" s="5">
        <v>4.6649703138252896E-3</v>
      </c>
      <c r="B444" s="5">
        <v>-6.0560181680544556E-3</v>
      </c>
      <c r="C444" s="5">
        <v>-2.0852913533834561E-2</v>
      </c>
      <c r="D444" s="5">
        <v>-9.4786729857819774E-3</v>
      </c>
    </row>
    <row r="445" spans="1:4" x14ac:dyDescent="0.25">
      <c r="A445" s="5">
        <v>1.8151118615449491E-2</v>
      </c>
      <c r="B445" s="5">
        <v>-7.9969535415080006E-2</v>
      </c>
      <c r="C445" s="5">
        <v>-1.5237866698662228E-2</v>
      </c>
      <c r="D445" s="5">
        <v>-2.3695602642971103E-2</v>
      </c>
    </row>
    <row r="446" spans="1:4" x14ac:dyDescent="0.25">
      <c r="A446" s="5">
        <v>3.8142620232172408E-2</v>
      </c>
      <c r="B446" s="5">
        <v>-3.3940397350993412E-2</v>
      </c>
      <c r="C446" s="5">
        <v>2.6439232409381619E-2</v>
      </c>
      <c r="D446" s="5">
        <v>6.0676779463244568E-3</v>
      </c>
    </row>
    <row r="447" spans="1:4" x14ac:dyDescent="0.25">
      <c r="A447" s="5">
        <v>2.8354632587859419E-2</v>
      </c>
      <c r="B447" s="5">
        <v>-6.8551842330762947E-3</v>
      </c>
      <c r="C447" s="5">
        <v>3.035788474093426E-2</v>
      </c>
      <c r="D447" s="5">
        <v>2.5748086290883876E-2</v>
      </c>
    </row>
    <row r="448" spans="1:4" x14ac:dyDescent="0.25">
      <c r="A448" s="5">
        <v>-1.4757281553398061E-2</v>
      </c>
      <c r="B448" s="5">
        <v>-7.7653149266608823E-3</v>
      </c>
      <c r="C448" s="5">
        <v>-1.7280608277411291E-3</v>
      </c>
      <c r="D448" s="5">
        <v>-1.1307100859339614E-2</v>
      </c>
    </row>
    <row r="449" spans="1:4" x14ac:dyDescent="0.25">
      <c r="A449" s="5">
        <v>1.1036657469452038E-2</v>
      </c>
      <c r="B449" s="5">
        <v>4.0000000000000036E-2</v>
      </c>
      <c r="C449" s="5">
        <v>-1.0530567496610077E-2</v>
      </c>
      <c r="D449" s="5">
        <v>8.4629460201279816E-3</v>
      </c>
    </row>
    <row r="450" spans="1:4" x14ac:dyDescent="0.25">
      <c r="A450" s="5">
        <v>-4.9122807017543901E-2</v>
      </c>
      <c r="B450" s="5">
        <v>-6.1036789297658878E-2</v>
      </c>
      <c r="C450" s="5">
        <v>-2.807907627711681E-2</v>
      </c>
      <c r="D450" s="5">
        <v>-1.3835336811068299E-2</v>
      </c>
    </row>
    <row r="451" spans="1:4" x14ac:dyDescent="0.25">
      <c r="A451" s="5">
        <v>-1.5170151701517032E-2</v>
      </c>
      <c r="B451" s="5">
        <v>5.8771148708815613E-2</v>
      </c>
      <c r="C451" s="5">
        <v>-7.4700747007470092E-3</v>
      </c>
      <c r="D451" s="5">
        <v>7.1297148114075615E-3</v>
      </c>
    </row>
    <row r="452" spans="1:4" x14ac:dyDescent="0.25">
      <c r="A452" s="5">
        <v>-8.742714404662788E-3</v>
      </c>
      <c r="B452" s="5">
        <v>6.728343145500526E-3</v>
      </c>
      <c r="C452" s="5">
        <v>-6.5892878732922711E-3</v>
      </c>
      <c r="D452" s="5">
        <v>2.1009362868234849E-2</v>
      </c>
    </row>
    <row r="453" spans="1:4" x14ac:dyDescent="0.25">
      <c r="A453" s="5">
        <v>8.8198236035279542E-3</v>
      </c>
      <c r="B453" s="5">
        <v>6.6833751044277356E-3</v>
      </c>
      <c r="C453" s="5">
        <v>-3.1035112274082621E-3</v>
      </c>
      <c r="D453" s="5">
        <v>-2.6839633191679813E-3</v>
      </c>
    </row>
    <row r="454" spans="1:4" x14ac:dyDescent="0.25">
      <c r="A454" s="5">
        <v>-1.1656952539550347E-2</v>
      </c>
      <c r="B454" s="5">
        <v>1.1618257261410747E-2</v>
      </c>
      <c r="C454" s="5">
        <v>2.6187278720547047E-2</v>
      </c>
      <c r="D454" s="5">
        <v>2.4669208342678051E-3</v>
      </c>
    </row>
    <row r="455" spans="1:4" x14ac:dyDescent="0.25">
      <c r="A455" s="5">
        <v>-4.2965459140690831E-2</v>
      </c>
      <c r="B455" s="5">
        <v>2.2969647251845693E-2</v>
      </c>
      <c r="C455" s="5">
        <v>-2.2515019927428437E-2</v>
      </c>
      <c r="D455" s="5">
        <v>2.0134228187919545E-2</v>
      </c>
    </row>
    <row r="456" spans="1:4" x14ac:dyDescent="0.25">
      <c r="A456" s="5">
        <v>3.2130281690140761E-2</v>
      </c>
      <c r="B456" s="5">
        <v>1.0425020048115519E-2</v>
      </c>
      <c r="C456" s="5">
        <v>2.5406967898980781E-2</v>
      </c>
      <c r="D456" s="5">
        <v>1.9078947368420973E-2</v>
      </c>
    </row>
    <row r="457" spans="1:4" x14ac:dyDescent="0.25">
      <c r="A457" s="5">
        <v>6.8230277185501453E-3</v>
      </c>
      <c r="B457" s="5">
        <v>5.2380952380952417E-2</v>
      </c>
      <c r="C457" s="5">
        <v>1.1780415430266977E-2</v>
      </c>
      <c r="D457" s="5">
        <v>4.7342371422423035E-3</v>
      </c>
    </row>
    <row r="458" spans="1:4" x14ac:dyDescent="0.25">
      <c r="A458" s="5">
        <v>-3.0495552731893305E-2</v>
      </c>
      <c r="B458" s="5">
        <v>-2.714932126696834E-2</v>
      </c>
      <c r="C458" s="5">
        <v>-6.9214300378331872E-3</v>
      </c>
      <c r="D458" s="5">
        <v>7.7104304990363026E-3</v>
      </c>
    </row>
    <row r="459" spans="1:4" x14ac:dyDescent="0.25">
      <c r="A459" s="5">
        <v>1.2669287898645631E-2</v>
      </c>
      <c r="B459" s="5">
        <v>2.170542635658923E-2</v>
      </c>
      <c r="C459" s="5">
        <v>-8.2100351436755759E-3</v>
      </c>
      <c r="D459" s="5">
        <v>-2.9755579171094615E-3</v>
      </c>
    </row>
    <row r="460" spans="1:4" x14ac:dyDescent="0.25">
      <c r="A460" s="5">
        <v>5.0043140638481365E-2</v>
      </c>
      <c r="B460" s="5">
        <v>4.9317147192716293E-2</v>
      </c>
      <c r="C460" s="5">
        <v>2.4030015186254916E-2</v>
      </c>
      <c r="D460" s="5">
        <v>1.2577275634193086E-2</v>
      </c>
    </row>
    <row r="461" spans="1:4" x14ac:dyDescent="0.25">
      <c r="A461" s="5">
        <v>-1.6844700082169317E-2</v>
      </c>
      <c r="B461" s="5">
        <v>-2.386117136659438E-2</v>
      </c>
      <c r="C461" s="5">
        <v>1.2183774353009547E-2</v>
      </c>
      <c r="D461" s="5">
        <v>-1.2631578947368549E-3</v>
      </c>
    </row>
    <row r="462" spans="1:4" x14ac:dyDescent="0.25">
      <c r="A462" s="5">
        <v>2.0058503969912156E-2</v>
      </c>
      <c r="B462" s="5">
        <v>2.9629629629630561E-3</v>
      </c>
      <c r="C462" s="5">
        <v>1.6260162601626105E-2</v>
      </c>
      <c r="D462" s="5">
        <v>-4.4266441821247948E-3</v>
      </c>
    </row>
    <row r="463" spans="1:4" x14ac:dyDescent="0.25">
      <c r="A463" s="5">
        <v>2.9496108152396561E-2</v>
      </c>
      <c r="B463" s="5">
        <v>-2.3633677991137358E-2</v>
      </c>
      <c r="C463" s="5">
        <v>-7.462897526501755E-3</v>
      </c>
      <c r="D463" s="5">
        <v>-6.5636248147363796E-3</v>
      </c>
    </row>
    <row r="464" spans="1:4" x14ac:dyDescent="0.25">
      <c r="A464" s="5">
        <v>-1.2335853561480259E-2</v>
      </c>
      <c r="B464" s="5">
        <v>1.5128593040847127E-2</v>
      </c>
      <c r="C464" s="5">
        <v>-5.3544473242004287E-3</v>
      </c>
      <c r="D464" s="5">
        <v>-2.1312872975276509E-4</v>
      </c>
    </row>
    <row r="465" spans="1:4" x14ac:dyDescent="0.25">
      <c r="A465" s="5">
        <v>-4.0290088638195165E-3</v>
      </c>
      <c r="B465" s="5">
        <v>5.5141579731743606E-2</v>
      </c>
      <c r="C465" s="5">
        <v>2.3337055808492879E-2</v>
      </c>
      <c r="D465" s="5">
        <v>1.7053933063313487E-3</v>
      </c>
    </row>
    <row r="466" spans="1:4" x14ac:dyDescent="0.25">
      <c r="A466" s="5">
        <v>-2.2653721682847849E-2</v>
      </c>
      <c r="B466" s="5">
        <v>9.8870056497175618E-3</v>
      </c>
      <c r="C466" s="5">
        <v>-6.7994851418657909E-3</v>
      </c>
      <c r="D466" s="5">
        <v>1.0427750585230822E-2</v>
      </c>
    </row>
    <row r="467" spans="1:4" x14ac:dyDescent="0.25">
      <c r="A467" s="5">
        <v>2.2350993377483475E-2</v>
      </c>
      <c r="B467" s="5">
        <v>2.0979020979021046E-2</v>
      </c>
      <c r="C467" s="5">
        <v>-4.0287364417523897E-3</v>
      </c>
      <c r="D467" s="5">
        <v>2.5273799494522908E-3</v>
      </c>
    </row>
    <row r="468" spans="1:4" x14ac:dyDescent="0.25">
      <c r="A468" s="5">
        <v>-5.8704453441295601E-2</v>
      </c>
      <c r="B468" s="5">
        <v>-5.6164383561643882E-2</v>
      </c>
      <c r="C468" s="5">
        <v>-2.5514822357999511E-2</v>
      </c>
      <c r="D468" s="5">
        <v>-2.3319327731092465E-2</v>
      </c>
    </row>
    <row r="469" spans="1:4" x14ac:dyDescent="0.25">
      <c r="A469" s="5">
        <v>-2.4516129032258083E-2</v>
      </c>
      <c r="B469" s="5">
        <v>0.14296081277213357</v>
      </c>
      <c r="C469" s="5">
        <v>-1.0653120464441224E-2</v>
      </c>
      <c r="D469" s="5">
        <v>2.0649602064960249E-2</v>
      </c>
    </row>
    <row r="470" spans="1:4" x14ac:dyDescent="0.25">
      <c r="A470" s="5">
        <v>0.10008818342151682</v>
      </c>
      <c r="B470" s="5">
        <v>3.6825396825396872E-2</v>
      </c>
      <c r="C470" s="5">
        <v>1.4640729982689393E-2</v>
      </c>
      <c r="D470" s="5">
        <v>1.6859852476289738E-3</v>
      </c>
    </row>
    <row r="471" spans="1:4" x14ac:dyDescent="0.25">
      <c r="A471" s="5">
        <v>8.0160320641282645E-3</v>
      </c>
      <c r="B471" s="5">
        <v>-1.837109614207022E-3</v>
      </c>
      <c r="C471" s="5">
        <v>9.6003701347522341E-3</v>
      </c>
      <c r="D471" s="5">
        <v>-2.945508100147276E-2</v>
      </c>
    </row>
    <row r="472" spans="1:4" x14ac:dyDescent="0.25">
      <c r="A472" s="5">
        <v>6.0039761431411431E-2</v>
      </c>
      <c r="B472" s="5">
        <v>2.2699386503067576E-2</v>
      </c>
      <c r="C472" s="5">
        <v>5.4419430600904928E-3</v>
      </c>
      <c r="D472" s="5">
        <v>6.5467158031649708E-2</v>
      </c>
    </row>
    <row r="473" spans="1:4" x14ac:dyDescent="0.25">
      <c r="A473" s="5">
        <v>-1.5753938484621144E-2</v>
      </c>
      <c r="B473" s="5">
        <v>-4.5590881823635243E-2</v>
      </c>
      <c r="C473" s="5">
        <v>-2.0425022789425706E-2</v>
      </c>
      <c r="D473" s="5">
        <v>7.1210579857579059E-3</v>
      </c>
    </row>
    <row r="474" spans="1:4" x14ac:dyDescent="0.25">
      <c r="A474" s="5">
        <v>7.507621951219523E-2</v>
      </c>
      <c r="B474" s="5">
        <v>-1.4456316781898182E-2</v>
      </c>
      <c r="C474" s="5">
        <v>5.4729985168813888E-2</v>
      </c>
      <c r="D474" s="5">
        <v>-3.4343434343434565E-3</v>
      </c>
    </row>
    <row r="475" spans="1:4" x14ac:dyDescent="0.25">
      <c r="A475" s="5">
        <v>3.1903580290677525E-3</v>
      </c>
      <c r="B475" s="5">
        <v>-1.7219387755102011E-2</v>
      </c>
      <c r="C475" s="5">
        <v>9.5673991563043348E-3</v>
      </c>
      <c r="D475" s="5">
        <v>1.5203729981755565E-2</v>
      </c>
    </row>
    <row r="476" spans="1:4" x14ac:dyDescent="0.25">
      <c r="A476" s="5">
        <v>-6.3604240282685298E-3</v>
      </c>
      <c r="B476" s="5">
        <v>-5.8403634003894034E-3</v>
      </c>
      <c r="C476" s="5">
        <v>-8.0292768188769958E-3</v>
      </c>
      <c r="D476" s="5">
        <v>5.990415335463295E-3</v>
      </c>
    </row>
    <row r="477" spans="1:4" x14ac:dyDescent="0.25">
      <c r="A477" s="5">
        <v>-9.6017069701280766E-3</v>
      </c>
      <c r="B477" s="5">
        <v>4.6997389033942572E-2</v>
      </c>
      <c r="C477" s="5">
        <v>8.2594570783547372E-3</v>
      </c>
      <c r="D477" s="5">
        <v>3.5728463676061306E-3</v>
      </c>
    </row>
    <row r="478" spans="1:4" x14ac:dyDescent="0.25">
      <c r="A478" s="5">
        <v>-1.1490125673249585E-2</v>
      </c>
      <c r="B478" s="5">
        <v>2.9925187032418865E-2</v>
      </c>
      <c r="C478" s="5">
        <v>-7.5910654797662902E-3</v>
      </c>
      <c r="D478" s="5">
        <v>4.9446202531646666E-3</v>
      </c>
    </row>
    <row r="479" spans="1:4" x14ac:dyDescent="0.25">
      <c r="A479" s="5">
        <v>-1.4892844169996367E-2</v>
      </c>
      <c r="B479" s="5">
        <v>-1.5133171912832921E-2</v>
      </c>
      <c r="C479" s="5">
        <v>-2.8890600924499354E-3</v>
      </c>
      <c r="D479" s="5">
        <v>4.133044676244868E-3</v>
      </c>
    </row>
    <row r="480" spans="1:4" x14ac:dyDescent="0.25">
      <c r="A480" s="5">
        <v>9.2182890855456723E-3</v>
      </c>
      <c r="B480" s="5">
        <v>-2.7043638598647779E-2</v>
      </c>
      <c r="C480" s="5">
        <v>4.4151328679047364E-3</v>
      </c>
      <c r="D480" s="5">
        <v>2.9400235201881841E-3</v>
      </c>
    </row>
    <row r="481" spans="1:4" x14ac:dyDescent="0.25">
      <c r="A481" s="5">
        <v>-6.9419071976616342E-3</v>
      </c>
      <c r="B481" s="5">
        <v>-1.2002526847757378E-2</v>
      </c>
      <c r="C481" s="5">
        <v>-3.516580125827673E-3</v>
      </c>
      <c r="D481" s="5">
        <v>-3.5176861442250962E-3</v>
      </c>
    </row>
    <row r="482" spans="1:4" x14ac:dyDescent="0.25">
      <c r="A482" s="5">
        <v>3.9735099337748325E-2</v>
      </c>
      <c r="B482" s="5">
        <v>8.1841432225064015E-2</v>
      </c>
      <c r="C482" s="5">
        <v>1.331642358909324E-2</v>
      </c>
      <c r="D482" s="5">
        <v>-3.530103941949414E-3</v>
      </c>
    </row>
    <row r="483" spans="1:4" x14ac:dyDescent="0.25">
      <c r="A483" s="5">
        <v>1.5923566878980999E-2</v>
      </c>
      <c r="B483" s="5">
        <v>1.3002364066193817E-2</v>
      </c>
      <c r="C483" s="5">
        <v>6.2578222778473247E-3</v>
      </c>
      <c r="D483" s="5">
        <v>6.1011611887422657E-3</v>
      </c>
    </row>
    <row r="484" spans="1:4" x14ac:dyDescent="0.25">
      <c r="A484" s="5">
        <v>-9.4043887147335914E-3</v>
      </c>
      <c r="B484" s="5">
        <v>-1.516919486581092E-2</v>
      </c>
      <c r="C484" s="5">
        <v>-1.0815487778503829E-4</v>
      </c>
      <c r="D484" s="5">
        <v>-9.7809076682320306E-4</v>
      </c>
    </row>
    <row r="485" spans="1:4" x14ac:dyDescent="0.25">
      <c r="A485" s="5">
        <v>-4.0084388185653963E-2</v>
      </c>
      <c r="B485" s="5">
        <v>-1.5995260663507094E-2</v>
      </c>
      <c r="C485" s="5">
        <v>-1.5819361817198452E-2</v>
      </c>
      <c r="D485" s="5">
        <v>-1.0182102995887954E-2</v>
      </c>
    </row>
    <row r="486" spans="1:4" x14ac:dyDescent="0.25">
      <c r="A486" s="5">
        <v>3.1135531135531025E-2</v>
      </c>
      <c r="B486" s="5">
        <v>-3.7326911499096949E-2</v>
      </c>
      <c r="C486" s="5">
        <v>-1.7584833081467632E-3</v>
      </c>
      <c r="D486" s="5">
        <v>-1.1671612265084064E-2</v>
      </c>
    </row>
    <row r="487" spans="1:4" x14ac:dyDescent="0.25">
      <c r="A487" s="5">
        <v>3.1971580817051537E-2</v>
      </c>
      <c r="B487" s="5">
        <v>8.1300813008129413E-3</v>
      </c>
      <c r="C487" s="5">
        <v>3.0772618425036535E-2</v>
      </c>
      <c r="D487" s="5">
        <v>-5.2041633306645352E-3</v>
      </c>
    </row>
    <row r="488" spans="1:4" x14ac:dyDescent="0.25">
      <c r="A488" s="5">
        <v>3.407917383821002E-2</v>
      </c>
      <c r="B488" s="5">
        <v>6.5136476426798984E-2</v>
      </c>
      <c r="C488" s="5">
        <v>1.3351491361590639E-4</v>
      </c>
      <c r="D488" s="5">
        <v>-2.2132796780683917E-3</v>
      </c>
    </row>
    <row r="489" spans="1:4" x14ac:dyDescent="0.25">
      <c r="A489" s="5">
        <v>-3.9946737683089761E-3</v>
      </c>
      <c r="B489" s="5">
        <v>-9.9009900990099098E-3</v>
      </c>
      <c r="C489" s="5">
        <v>-1.4417685694452231E-3</v>
      </c>
      <c r="D489" s="5">
        <v>-2.3190159306311742E-2</v>
      </c>
    </row>
    <row r="490" spans="1:4" x14ac:dyDescent="0.25">
      <c r="A490" s="5">
        <v>-3.6096256684492012E-2</v>
      </c>
      <c r="B490" s="5">
        <v>3.1176470588235361E-2</v>
      </c>
      <c r="C490" s="5">
        <v>-1.7807486631016056E-2</v>
      </c>
      <c r="D490" s="5">
        <v>1.857968620974404E-2</v>
      </c>
    </row>
    <row r="491" spans="1:4" x14ac:dyDescent="0.25">
      <c r="A491" s="5">
        <v>3.4674063800288479E-4</v>
      </c>
      <c r="B491" s="5">
        <v>3.080433542498584E-2</v>
      </c>
      <c r="C491" s="5">
        <v>-1.4455273044046368E-2</v>
      </c>
      <c r="D491" s="5">
        <v>-3.6481556546412719E-3</v>
      </c>
    </row>
    <row r="492" spans="1:4" x14ac:dyDescent="0.25">
      <c r="A492" s="5">
        <v>1.9410745233968907E-2</v>
      </c>
      <c r="B492" s="5">
        <v>-2.2136137244050946E-2</v>
      </c>
      <c r="C492" s="5">
        <v>-1.93354141921942E-3</v>
      </c>
      <c r="D492" s="5">
        <v>-5.4922701383238737E-3</v>
      </c>
    </row>
    <row r="493" spans="1:4" x14ac:dyDescent="0.25">
      <c r="A493" s="5">
        <v>0</v>
      </c>
      <c r="B493" s="5">
        <v>-4.0747028862478829E-2</v>
      </c>
      <c r="C493" s="5">
        <v>7.8875266376996489E-3</v>
      </c>
      <c r="D493" s="5">
        <v>-8.9997954591941598E-3</v>
      </c>
    </row>
    <row r="494" spans="1:4" x14ac:dyDescent="0.25">
      <c r="A494" s="5">
        <v>-1.1560693641618491E-2</v>
      </c>
      <c r="B494" s="5">
        <v>-2.2418879056047225E-2</v>
      </c>
      <c r="C494" s="5">
        <v>-7.3040803998023485E-3</v>
      </c>
      <c r="D494" s="5">
        <v>-1.7956656346749256E-2</v>
      </c>
    </row>
    <row r="495" spans="1:4" x14ac:dyDescent="0.25">
      <c r="A495" s="5">
        <v>-4.4719642242861957E-3</v>
      </c>
      <c r="B495" s="5">
        <v>-1.931200965600488E-2</v>
      </c>
      <c r="C495" s="5">
        <v>1.4273069263111227E-2</v>
      </c>
      <c r="D495" s="5">
        <v>4.2034468263985048E-4</v>
      </c>
    </row>
    <row r="496" spans="1:4" x14ac:dyDescent="0.25">
      <c r="A496" s="5">
        <v>2.9025570145127855E-2</v>
      </c>
      <c r="B496" s="5">
        <v>-1.0461538461538411E-2</v>
      </c>
      <c r="C496" s="5">
        <v>7.3906403403511955E-3</v>
      </c>
      <c r="D496" s="5">
        <v>8.8235294117646745E-3</v>
      </c>
    </row>
    <row r="497" spans="1:4" x14ac:dyDescent="0.25">
      <c r="A497" s="5">
        <v>-5.0369375419744289E-3</v>
      </c>
      <c r="B497" s="5">
        <v>2.6119402985074647E-2</v>
      </c>
      <c r="C497" s="5">
        <v>-6.0369798857575763E-3</v>
      </c>
      <c r="D497" s="5">
        <v>7.7051228654727577E-3</v>
      </c>
    </row>
    <row r="498" spans="1:4" x14ac:dyDescent="0.25">
      <c r="A498" s="5">
        <v>-4.4211947350658143E-2</v>
      </c>
      <c r="B498" s="5">
        <v>-7.0303030303030312E-2</v>
      </c>
      <c r="C498" s="5">
        <v>-2.4594182372807527E-2</v>
      </c>
      <c r="D498" s="5">
        <v>-1.1572638974994831E-2</v>
      </c>
    </row>
    <row r="499" spans="1:4" x14ac:dyDescent="0.25">
      <c r="A499" s="5">
        <v>9.8870056497175618E-3</v>
      </c>
      <c r="B499" s="5">
        <v>-8.4745762711864181E-3</v>
      </c>
      <c r="C499" s="5">
        <v>-1.1923044704436947E-2</v>
      </c>
      <c r="D499" s="5">
        <v>1.8816642274723794E-3</v>
      </c>
    </row>
    <row r="500" spans="1:4" x14ac:dyDescent="0.25">
      <c r="A500" s="5">
        <v>-3.2867132867132831E-2</v>
      </c>
      <c r="B500" s="5">
        <v>-7.1663379355687007E-2</v>
      </c>
      <c r="C500" s="5">
        <v>-8.6192279432544261E-3</v>
      </c>
      <c r="D500" s="5">
        <v>4.1736227045086061E-4</v>
      </c>
    </row>
    <row r="501" spans="1:4" x14ac:dyDescent="0.25">
      <c r="A501" s="5">
        <v>3.9045553145336198E-2</v>
      </c>
      <c r="B501" s="5">
        <v>-5.6657223796033884E-3</v>
      </c>
      <c r="C501" s="5">
        <v>-3.2496223026710069E-3</v>
      </c>
      <c r="D501" s="5">
        <v>-1.7521902377972465E-2</v>
      </c>
    </row>
    <row r="502" spans="1:4" x14ac:dyDescent="0.25">
      <c r="A502" s="5">
        <v>1.1830201809325036E-2</v>
      </c>
      <c r="B502" s="5">
        <v>3.9886039886039892E-2</v>
      </c>
      <c r="C502" s="5">
        <v>1.4956959418880755E-2</v>
      </c>
      <c r="D502" s="5">
        <v>5.9447983014861983E-3</v>
      </c>
    </row>
    <row r="503" spans="1:4" x14ac:dyDescent="0.25">
      <c r="A503" s="5">
        <v>-1.1004126547455306E-2</v>
      </c>
      <c r="B503" s="5">
        <v>6.8493150684934001E-4</v>
      </c>
      <c r="C503" s="5">
        <v>-1.4060298675683258E-2</v>
      </c>
      <c r="D503" s="5">
        <v>-2.5327142254115698E-3</v>
      </c>
    </row>
    <row r="504" spans="1:4" x14ac:dyDescent="0.25">
      <c r="A504" s="5">
        <v>3.8247566063978056E-3</v>
      </c>
      <c r="B504" s="5">
        <v>-2.0533880903490731E-2</v>
      </c>
      <c r="C504" s="5">
        <v>5.6014403703810167E-3</v>
      </c>
      <c r="D504" s="5">
        <v>1.2907321201861999E-2</v>
      </c>
    </row>
    <row r="505" spans="1:4" x14ac:dyDescent="0.25">
      <c r="A505" s="5">
        <v>2.5285763768617908E-2</v>
      </c>
      <c r="B505" s="5">
        <v>3.0747728860936352E-2</v>
      </c>
      <c r="C505" s="5">
        <v>-3.9787421490891095E-3</v>
      </c>
      <c r="D505" s="5">
        <v>1.044495508669252E-3</v>
      </c>
    </row>
    <row r="506" spans="1:4" x14ac:dyDescent="0.25">
      <c r="A506" s="5">
        <v>-3.1081081081081097E-2</v>
      </c>
      <c r="B506" s="5">
        <v>-3.2542372881355974E-2</v>
      </c>
      <c r="C506" s="5">
        <v>-1.226923845122263E-2</v>
      </c>
      <c r="D506" s="5">
        <v>-3.3388981636059967E-3</v>
      </c>
    </row>
    <row r="507" spans="1:4" x14ac:dyDescent="0.25">
      <c r="A507" s="5">
        <v>4.8814504881451448E-3</v>
      </c>
      <c r="B507" s="5">
        <v>4.1345480028030845E-2</v>
      </c>
      <c r="C507" s="5">
        <v>1.7736950053441891E-2</v>
      </c>
      <c r="D507" s="5">
        <v>2.4497487437185939E-2</v>
      </c>
    </row>
    <row r="508" spans="1:4" x14ac:dyDescent="0.25">
      <c r="A508" s="5">
        <v>-5.5517002081887368E-3</v>
      </c>
      <c r="B508" s="5">
        <v>5.1816958277254299E-2</v>
      </c>
      <c r="C508" s="5">
        <v>-2.7532570747352825E-3</v>
      </c>
      <c r="D508" s="5">
        <v>-1.2466789290823677E-2</v>
      </c>
    </row>
    <row r="509" spans="1:4" x14ac:dyDescent="0.25">
      <c r="A509" s="5">
        <v>3.4891835310537411E-2</v>
      </c>
      <c r="B509" s="5">
        <v>1.7914267434421038E-2</v>
      </c>
      <c r="C509" s="5">
        <v>-3.8424318324130624E-3</v>
      </c>
      <c r="D509" s="5">
        <v>-6.2086092715230023E-4</v>
      </c>
    </row>
    <row r="510" spans="1:4" x14ac:dyDescent="0.25">
      <c r="A510" s="5">
        <v>4.2481456507080351E-2</v>
      </c>
      <c r="B510" s="5">
        <v>5.6568196103079504E-3</v>
      </c>
      <c r="C510" s="5">
        <v>7.200205720163444E-3</v>
      </c>
      <c r="D510" s="5">
        <v>8.6974528887968638E-3</v>
      </c>
    </row>
    <row r="511" spans="1:4" x14ac:dyDescent="0.25">
      <c r="A511" s="5">
        <v>-8.7322121604139769E-3</v>
      </c>
      <c r="B511" s="5">
        <v>3.1875000000000098E-2</v>
      </c>
      <c r="C511" s="5">
        <v>-1.0921675980823276E-2</v>
      </c>
      <c r="D511" s="5">
        <v>-9.0330527612400013E-3</v>
      </c>
    </row>
    <row r="512" spans="1:4" x14ac:dyDescent="0.25">
      <c r="A512" s="5">
        <v>2.9690048939641001E-2</v>
      </c>
      <c r="B512" s="5">
        <v>2.3622047244094446E-2</v>
      </c>
      <c r="C512" s="5">
        <v>2.2744220730797959E-2</v>
      </c>
      <c r="D512" s="5">
        <v>3.3146882121399823E-3</v>
      </c>
    </row>
    <row r="513" spans="1:4" x14ac:dyDescent="0.25">
      <c r="A513" s="5">
        <v>-9.5057034220532577E-3</v>
      </c>
      <c r="B513" s="5">
        <v>4.7337278106508895E-2</v>
      </c>
      <c r="C513" s="5">
        <v>-7.2912869121399826E-4</v>
      </c>
      <c r="D513" s="5">
        <v>-5.9880239520958556E-3</v>
      </c>
    </row>
    <row r="514" spans="1:4" x14ac:dyDescent="0.25">
      <c r="A514" s="5">
        <v>1.8554062699936091E-2</v>
      </c>
      <c r="B514" s="5">
        <v>-1.8079096045197751E-2</v>
      </c>
      <c r="C514" s="5">
        <v>7.1282238374541507E-3</v>
      </c>
      <c r="D514" s="5">
        <v>-2.4719567926879904E-2</v>
      </c>
    </row>
    <row r="515" spans="1:4" x14ac:dyDescent="0.25">
      <c r="A515" s="5">
        <v>-8.4798994974873976E-3</v>
      </c>
      <c r="B515" s="5">
        <v>-3.5673187571921727E-2</v>
      </c>
      <c r="C515" s="5">
        <v>1.2762281606152559E-2</v>
      </c>
      <c r="D515" s="5">
        <v>-1.4270500532481356E-2</v>
      </c>
    </row>
    <row r="516" spans="1:4" x14ac:dyDescent="0.25">
      <c r="A516" s="5">
        <v>1.9322141273360849E-2</v>
      </c>
      <c r="B516" s="5">
        <v>6.4439140811455742E-2</v>
      </c>
      <c r="C516" s="5">
        <v>3.7419177328381625E-3</v>
      </c>
      <c r="D516" s="5">
        <v>1.2316335350043284E-2</v>
      </c>
    </row>
    <row r="517" spans="1:4" x14ac:dyDescent="0.25">
      <c r="A517" s="5">
        <v>1.4605344934742082E-2</v>
      </c>
      <c r="B517" s="5">
        <v>7.5672645739910394E-2</v>
      </c>
      <c r="C517" s="5">
        <v>3.8924371590691731E-3</v>
      </c>
      <c r="D517" s="5">
        <v>1.4941302027748238E-2</v>
      </c>
    </row>
    <row r="518" spans="1:4" x14ac:dyDescent="0.25">
      <c r="A518" s="5">
        <v>-3.4609494640122529E-2</v>
      </c>
      <c r="B518" s="5">
        <v>3.6477331943720603E-3</v>
      </c>
      <c r="C518" s="5">
        <v>-1.5290937389071946E-3</v>
      </c>
      <c r="D518" s="5">
        <v>2.5236593059936308E-3</v>
      </c>
    </row>
    <row r="519" spans="1:4" x14ac:dyDescent="0.25">
      <c r="A519" s="5">
        <v>-9.8350253807106824E-3</v>
      </c>
      <c r="B519" s="5">
        <v>3.1152647975076775E-3</v>
      </c>
      <c r="C519" s="5">
        <v>-1.6244154565591917E-2</v>
      </c>
      <c r="D519" s="5">
        <v>-4.6150618837843549E-3</v>
      </c>
    </row>
    <row r="520" spans="1:4" x14ac:dyDescent="0.25">
      <c r="A520" s="5">
        <v>2.5953220121755827E-2</v>
      </c>
      <c r="B520" s="5">
        <v>2.4844720496894457E-2</v>
      </c>
      <c r="C520" s="5">
        <v>-7.1998443276901636E-3</v>
      </c>
      <c r="D520" s="5">
        <v>-1.0537407797681642E-3</v>
      </c>
    </row>
    <row r="521" spans="1:4" x14ac:dyDescent="0.25">
      <c r="A521" s="5">
        <v>1.2492192379762734E-2</v>
      </c>
      <c r="B521" s="5">
        <v>2.8282828282828243E-2</v>
      </c>
      <c r="C521" s="5">
        <v>1.8396147169177368E-2</v>
      </c>
      <c r="D521" s="5">
        <v>7.8059071729956742E-3</v>
      </c>
    </row>
    <row r="522" spans="1:4" x14ac:dyDescent="0.25">
      <c r="A522" s="5">
        <v>-6.1690314620599374E-4</v>
      </c>
      <c r="B522" s="5">
        <v>-5.8939096267190516E-2</v>
      </c>
      <c r="C522" s="5">
        <v>1.2180033543207403E-2</v>
      </c>
      <c r="D522" s="5">
        <v>-8.1641197404228594E-3</v>
      </c>
    </row>
    <row r="523" spans="1:4" x14ac:dyDescent="0.25">
      <c r="A523" s="5">
        <v>1.0185185185185075E-2</v>
      </c>
      <c r="B523" s="5">
        <v>1.9832985386221358E-2</v>
      </c>
      <c r="C523" s="5">
        <v>-1.0593795838539366E-3</v>
      </c>
      <c r="D523" s="5">
        <v>1.2241452089489346E-2</v>
      </c>
    </row>
    <row r="524" spans="1:4" x14ac:dyDescent="0.25">
      <c r="A524" s="5">
        <v>1.6498625114573784E-2</v>
      </c>
      <c r="B524" s="5">
        <v>7.1647901740020448E-2</v>
      </c>
      <c r="C524" s="5">
        <v>3.535010197144306E-4</v>
      </c>
      <c r="D524" s="5">
        <v>5.4211843202669474E-3</v>
      </c>
    </row>
    <row r="525" spans="1:4" x14ac:dyDescent="0.25">
      <c r="A525" s="5">
        <v>-1.5329125338142457E-2</v>
      </c>
      <c r="B525" s="5">
        <v>3.6771728748806076E-2</v>
      </c>
      <c r="C525" s="5">
        <v>1.0682831358051592E-2</v>
      </c>
      <c r="D525" s="5">
        <v>-7.258399004562377E-3</v>
      </c>
    </row>
    <row r="526" spans="1:4" x14ac:dyDescent="0.25">
      <c r="A526" s="5">
        <v>-1.3736263736263687E-2</v>
      </c>
      <c r="B526" s="5">
        <v>-2.8097650852141887E-2</v>
      </c>
      <c r="C526" s="5">
        <v>2.8509184798688469E-3</v>
      </c>
      <c r="D526" s="5">
        <v>-1.3160643409233286E-2</v>
      </c>
    </row>
    <row r="527" spans="1:4" x14ac:dyDescent="0.25">
      <c r="A527" s="5">
        <v>-1.4856081708449431E-2</v>
      </c>
      <c r="B527" s="5">
        <v>-4.7393364928904891E-4</v>
      </c>
      <c r="C527" s="5">
        <v>-1.2497653337624426E-2</v>
      </c>
      <c r="D527" s="5">
        <v>-7.4089754445385569E-3</v>
      </c>
    </row>
    <row r="528" spans="1:4" x14ac:dyDescent="0.25">
      <c r="A528" s="5">
        <v>5.9692114357523529E-3</v>
      </c>
      <c r="B528" s="5">
        <v>5.1209103840682779E-2</v>
      </c>
      <c r="C528" s="5">
        <v>1.4203851063251838E-2</v>
      </c>
      <c r="D528" s="5">
        <v>2.1326508850501025E-3</v>
      </c>
    </row>
    <row r="529" spans="1:4" x14ac:dyDescent="0.25">
      <c r="A529" s="5">
        <v>2.24859462835727E-2</v>
      </c>
      <c r="B529" s="5">
        <v>1.3531799729364913E-3</v>
      </c>
      <c r="C529" s="5">
        <v>1.0952227934875713E-2</v>
      </c>
      <c r="D529" s="5">
        <v>-5.3202809108321425E-3</v>
      </c>
    </row>
    <row r="530" spans="1:4" x14ac:dyDescent="0.25">
      <c r="A530" s="5">
        <v>-3.11545510079414E-2</v>
      </c>
      <c r="B530" s="5">
        <v>6.3063063063062419E-3</v>
      </c>
      <c r="C530" s="5">
        <v>1.4329987020899049E-2</v>
      </c>
      <c r="D530" s="5">
        <v>9.199828840393609E-3</v>
      </c>
    </row>
    <row r="531" spans="1:4" x14ac:dyDescent="0.25">
      <c r="A531" s="5">
        <v>-4.4136191677175307E-2</v>
      </c>
      <c r="B531" s="5">
        <v>-4.8343777976723401E-2</v>
      </c>
      <c r="C531" s="5">
        <v>-1.068052436413014E-2</v>
      </c>
      <c r="D531" s="5">
        <v>1.5687937248251016E-2</v>
      </c>
    </row>
    <row r="532" spans="1:4" x14ac:dyDescent="0.25">
      <c r="A532" s="5">
        <v>-3.6279683377308247E-3</v>
      </c>
      <c r="B532" s="5">
        <v>2.4929444967074277E-2</v>
      </c>
      <c r="C532" s="5">
        <v>-5.7806519730764228E-3</v>
      </c>
      <c r="D532" s="5">
        <v>1.5236902525568752E-2</v>
      </c>
    </row>
    <row r="533" spans="1:4" x14ac:dyDescent="0.25">
      <c r="A533" s="5">
        <v>1.3902681231380276E-2</v>
      </c>
      <c r="B533" s="5">
        <v>5.4153281321707158E-2</v>
      </c>
      <c r="C533" s="5">
        <v>1.2902883236871387E-2</v>
      </c>
      <c r="D533" s="5">
        <v>-2.8782894736841813E-3</v>
      </c>
    </row>
    <row r="534" spans="1:4" x14ac:dyDescent="0.25">
      <c r="A534" s="5">
        <v>-8.488410055501161E-3</v>
      </c>
      <c r="B534" s="5">
        <v>-9.142359599477623E-3</v>
      </c>
      <c r="C534" s="5">
        <v>-1.0956175298804771E-2</v>
      </c>
      <c r="D534" s="5">
        <v>7.4226804123711521E-3</v>
      </c>
    </row>
    <row r="535" spans="1:4" x14ac:dyDescent="0.25">
      <c r="A535" s="5">
        <v>-2.0085610800131715E-2</v>
      </c>
      <c r="B535" s="5">
        <v>-3.3391915641476255E-2</v>
      </c>
      <c r="C535" s="5">
        <v>-8.5599194360523878E-3</v>
      </c>
      <c r="D535" s="5">
        <v>-1.5759312320916874E-2</v>
      </c>
    </row>
    <row r="536" spans="1:4" x14ac:dyDescent="0.25">
      <c r="A536" s="5">
        <v>-4.7043010752688685E-3</v>
      </c>
      <c r="B536" s="5">
        <v>-2.7727272727272712E-2</v>
      </c>
      <c r="C536" s="5">
        <v>2.4324396567854123E-3</v>
      </c>
      <c r="D536" s="5">
        <v>1.4971927635683002E-2</v>
      </c>
    </row>
    <row r="537" spans="1:4" x14ac:dyDescent="0.25">
      <c r="A537" s="5">
        <v>-1.3504388926400823E-3</v>
      </c>
      <c r="B537" s="5">
        <v>-3.4128097241701738E-2</v>
      </c>
      <c r="C537" s="5">
        <v>1.154605087728644E-2</v>
      </c>
      <c r="D537" s="5">
        <v>6.1462814996926518E-3</v>
      </c>
    </row>
    <row r="538" spans="1:4" x14ac:dyDescent="0.25">
      <c r="A538" s="5">
        <v>2.0283975659229903E-3</v>
      </c>
      <c r="B538" s="5">
        <v>4.3562439496611649E-3</v>
      </c>
      <c r="C538" s="5">
        <v>-3.6905232634765195E-4</v>
      </c>
      <c r="D538" s="5">
        <v>-2.0973325188352709E-2</v>
      </c>
    </row>
    <row r="539" spans="1:4" x14ac:dyDescent="0.25">
      <c r="A539" s="5">
        <v>-2.8677462887989225E-2</v>
      </c>
      <c r="B539" s="5">
        <v>0.14024096385542162</v>
      </c>
      <c r="C539" s="5">
        <v>3.349067798845029E-3</v>
      </c>
      <c r="D539" s="5">
        <v>-1.4975041597337757E-2</v>
      </c>
    </row>
    <row r="540" spans="1:4" x14ac:dyDescent="0.25">
      <c r="A540" s="5">
        <v>-4.1681139284474034E-3</v>
      </c>
      <c r="B540" s="5">
        <v>-1.5638207945900207E-2</v>
      </c>
      <c r="C540" s="5">
        <v>-1.3903490328006751E-2</v>
      </c>
      <c r="D540" s="5">
        <v>2.7449324324324564E-3</v>
      </c>
    </row>
    <row r="541" spans="1:4" x14ac:dyDescent="0.25">
      <c r="A541" s="5">
        <v>-9.0687129403558275E-3</v>
      </c>
      <c r="B541" s="5">
        <v>9.0167453842850964E-3</v>
      </c>
      <c r="C541" s="5">
        <v>-2.5853567525786492E-3</v>
      </c>
      <c r="D541" s="5">
        <v>-7.159401979364044E-3</v>
      </c>
    </row>
    <row r="542" spans="1:4" x14ac:dyDescent="0.25">
      <c r="A542" s="5">
        <v>-1.0559662090813049E-2</v>
      </c>
      <c r="B542" s="5">
        <v>-1.1914893617021249E-2</v>
      </c>
      <c r="C542" s="5">
        <v>-1.9854630965742026E-2</v>
      </c>
      <c r="D542" s="5">
        <v>4.8780487804878092E-3</v>
      </c>
    </row>
    <row r="543" spans="1:4" x14ac:dyDescent="0.25">
      <c r="A543" s="5">
        <v>-2.3479188900747072E-2</v>
      </c>
      <c r="B543" s="5">
        <v>-2.2394487510766559E-2</v>
      </c>
      <c r="C543" s="5">
        <v>-1.2541236129665068E-3</v>
      </c>
      <c r="D543" s="5">
        <v>-1.3929928239763578E-2</v>
      </c>
    </row>
    <row r="544" spans="1:4" x14ac:dyDescent="0.25">
      <c r="A544" s="5">
        <v>-5.1001821493624755E-3</v>
      </c>
      <c r="B544" s="5">
        <v>2.6872246696035162E-2</v>
      </c>
      <c r="C544" s="5">
        <v>5.0227936559932296E-3</v>
      </c>
      <c r="D544" s="5">
        <v>2.3544520547944536E-3</v>
      </c>
    </row>
    <row r="545" spans="1:4" x14ac:dyDescent="0.25">
      <c r="A545" s="5">
        <v>-1.1717319663127057E-2</v>
      </c>
      <c r="B545" s="5">
        <v>2.4882024882024956E-2</v>
      </c>
      <c r="C545" s="5">
        <v>-1.0701578075345664E-2</v>
      </c>
      <c r="D545" s="5">
        <v>1.2812299807816174E-3</v>
      </c>
    </row>
    <row r="546" spans="1:4" x14ac:dyDescent="0.25">
      <c r="A546" s="5">
        <v>7.7806595035199155E-3</v>
      </c>
      <c r="B546" s="5">
        <v>-1.4231896190874838E-2</v>
      </c>
      <c r="C546" s="5">
        <v>3.4593526068693592E-3</v>
      </c>
      <c r="D546" s="5">
        <v>-2.1326508850505466E-4</v>
      </c>
    </row>
    <row r="547" spans="1:4" x14ac:dyDescent="0.25">
      <c r="A547" s="5">
        <v>1.1397058823529482E-2</v>
      </c>
      <c r="B547" s="5">
        <v>-1.1040339702760082E-2</v>
      </c>
      <c r="C547" s="5">
        <v>-3.7757530985800258E-3</v>
      </c>
      <c r="D547" s="5">
        <v>-9.8122866894198024E-3</v>
      </c>
    </row>
    <row r="548" spans="1:4" x14ac:dyDescent="0.25">
      <c r="A548" s="5">
        <v>2.1810250817884347E-2</v>
      </c>
      <c r="B548" s="5">
        <v>3.8213825676255864E-2</v>
      </c>
      <c r="C548" s="5">
        <v>-3.6527423031501582E-3</v>
      </c>
      <c r="D548" s="5">
        <v>-8.4015510555794926E-3</v>
      </c>
    </row>
    <row r="549" spans="1:4" x14ac:dyDescent="0.25">
      <c r="A549" s="5">
        <v>2.1344717182496531E-3</v>
      </c>
      <c r="B549" s="5">
        <v>-3.060380479735314E-2</v>
      </c>
      <c r="C549" s="5">
        <v>7.4700920668173687E-3</v>
      </c>
      <c r="D549" s="5">
        <v>-6.7347382142081136E-3</v>
      </c>
    </row>
    <row r="550" spans="1:4" x14ac:dyDescent="0.25">
      <c r="A550" s="5">
        <v>1.6329428470003515E-2</v>
      </c>
      <c r="B550" s="5">
        <v>-2.0051194539249195E-2</v>
      </c>
      <c r="C550" s="5">
        <v>1.5841746696215964E-2</v>
      </c>
      <c r="D550" s="5">
        <v>-1.312335958005284E-3</v>
      </c>
    </row>
    <row r="551" spans="1:4" x14ac:dyDescent="0.25">
      <c r="A551" s="5">
        <v>-1.9210618232623156E-2</v>
      </c>
      <c r="B551" s="5">
        <v>0</v>
      </c>
      <c r="C551" s="5">
        <v>1.212023270846796E-3</v>
      </c>
      <c r="D551" s="5">
        <v>2.8471309680244694E-3</v>
      </c>
    </row>
    <row r="552" spans="1:4" x14ac:dyDescent="0.25">
      <c r="A552" s="5">
        <v>-4.2378917378917413E-2</v>
      </c>
      <c r="B552" s="5">
        <v>4.7453199825859826E-2</v>
      </c>
      <c r="C552" s="5">
        <v>-1.54682161784091E-2</v>
      </c>
      <c r="D552" s="5">
        <v>5.2413190652980113E-3</v>
      </c>
    </row>
    <row r="553" spans="1:4" x14ac:dyDescent="0.25">
      <c r="A553" s="5">
        <v>-2.9750836742283848E-3</v>
      </c>
      <c r="B553" s="5">
        <v>7.0656691604322752E-3</v>
      </c>
      <c r="C553" s="5">
        <v>1.5574621564020674E-3</v>
      </c>
      <c r="D553" s="5">
        <v>1.1296980230284692E-2</v>
      </c>
    </row>
    <row r="554" spans="1:4" x14ac:dyDescent="0.25">
      <c r="A554" s="5">
        <v>-4.8489369638194946E-3</v>
      </c>
      <c r="B554" s="5">
        <v>5.4065208419314947E-2</v>
      </c>
      <c r="C554" s="5">
        <v>-1.8305824580548302E-2</v>
      </c>
      <c r="D554" s="5">
        <v>-9.8818474758324282E-3</v>
      </c>
    </row>
    <row r="555" spans="1:4" x14ac:dyDescent="0.25">
      <c r="A555" s="5">
        <v>1.9490254872563728E-2</v>
      </c>
      <c r="B555" s="5">
        <v>7.4393108848864742E-3</v>
      </c>
      <c r="C555" s="5">
        <v>-1.4339706536238284E-2</v>
      </c>
      <c r="D555" s="5">
        <v>8.2447385550010743E-3</v>
      </c>
    </row>
    <row r="556" spans="1:4" x14ac:dyDescent="0.25">
      <c r="A556" s="5">
        <v>6.9852941176470562E-2</v>
      </c>
      <c r="B556" s="5">
        <v>6.6070734551106902E-3</v>
      </c>
      <c r="C556" s="5">
        <v>-1.6916657268524204E-3</v>
      </c>
      <c r="D556" s="5">
        <v>1.0759629868732468E-2</v>
      </c>
    </row>
    <row r="557" spans="1:4" x14ac:dyDescent="0.25">
      <c r="A557" s="5">
        <v>7.9037800687284943E-3</v>
      </c>
      <c r="B557" s="5">
        <v>1.158301158301156E-2</v>
      </c>
      <c r="C557" s="5">
        <v>1.6606416629010301E-2</v>
      </c>
      <c r="D557" s="5">
        <v>-3.4064296359378465E-3</v>
      </c>
    </row>
    <row r="558" spans="1:4" x14ac:dyDescent="0.25">
      <c r="A558" s="5">
        <v>0</v>
      </c>
      <c r="B558" s="5">
        <v>1.0305343511450404E-2</v>
      </c>
      <c r="C558" s="5">
        <v>-6.1673519279920042E-3</v>
      </c>
      <c r="D558" s="5">
        <v>-6.4088869899594503E-3</v>
      </c>
    </row>
    <row r="559" spans="1:4" x14ac:dyDescent="0.25">
      <c r="A559" s="5">
        <v>-5.7961131946812072E-3</v>
      </c>
      <c r="B559" s="5">
        <v>2.7200604457876754E-2</v>
      </c>
      <c r="C559" s="5">
        <v>1.7107396433163835E-2</v>
      </c>
      <c r="D559" s="5">
        <v>7.9552784347451944E-3</v>
      </c>
    </row>
    <row r="560" spans="1:4" x14ac:dyDescent="0.25">
      <c r="A560" s="5">
        <v>4.8696844993141308E-2</v>
      </c>
      <c r="B560" s="5">
        <v>-1.5079073188672298E-2</v>
      </c>
      <c r="C560" s="5">
        <v>-1.0938272962128237E-2</v>
      </c>
      <c r="D560" s="5">
        <v>8.319112627986458E-3</v>
      </c>
    </row>
    <row r="561" spans="1:4" x14ac:dyDescent="0.25">
      <c r="A561" s="5">
        <v>1.7331589274035331E-2</v>
      </c>
      <c r="B561" s="5">
        <v>-9.3353248693054391E-3</v>
      </c>
      <c r="C561" s="5">
        <v>9.0307880404578711E-3</v>
      </c>
      <c r="D561" s="5">
        <v>1.6712502644383287E-2</v>
      </c>
    </row>
    <row r="562" spans="1:4" x14ac:dyDescent="0.25">
      <c r="A562" s="5">
        <v>-3.567984570877536E-2</v>
      </c>
      <c r="B562" s="5">
        <v>-4.523181304183943E-3</v>
      </c>
      <c r="C562" s="5">
        <v>1.3080714895491896E-2</v>
      </c>
      <c r="D562" s="5">
        <v>-3.9533915938410047E-3</v>
      </c>
    </row>
    <row r="563" spans="1:4" x14ac:dyDescent="0.25">
      <c r="A563" s="5">
        <v>1.8666666666666609E-2</v>
      </c>
      <c r="B563" s="5">
        <v>2.1582733812949728E-2</v>
      </c>
      <c r="C563" s="5">
        <v>-1.6581493965423522E-2</v>
      </c>
      <c r="D563" s="5">
        <v>4.3868811364111693E-3</v>
      </c>
    </row>
    <row r="564" spans="1:4" x14ac:dyDescent="0.25">
      <c r="A564" s="5">
        <v>2.4541884816754012E-2</v>
      </c>
      <c r="B564" s="5">
        <v>1.4825796886582587E-2</v>
      </c>
      <c r="C564" s="5">
        <v>2.3771352755819208E-3</v>
      </c>
      <c r="D564" s="5">
        <v>9.9833610648918381E-3</v>
      </c>
    </row>
    <row r="565" spans="1:4" x14ac:dyDescent="0.25">
      <c r="A565" s="5">
        <v>7.6652826572980448E-3</v>
      </c>
      <c r="B565" s="5">
        <v>1.4609203798392922E-2</v>
      </c>
      <c r="C565" s="5">
        <v>2.5369512464152866E-3</v>
      </c>
      <c r="D565" s="5">
        <v>1.2149917627677143E-2</v>
      </c>
    </row>
    <row r="566" spans="1:4" x14ac:dyDescent="0.25">
      <c r="A566" s="5">
        <v>-9.5087163232965288E-4</v>
      </c>
      <c r="B566" s="5">
        <v>6.8394528437725199E-3</v>
      </c>
      <c r="C566" s="5">
        <v>1.6503465727801814E-3</v>
      </c>
      <c r="D566" s="5">
        <v>8.3418107833164168E-3</v>
      </c>
    </row>
    <row r="567" spans="1:4" x14ac:dyDescent="0.25">
      <c r="A567" s="5">
        <v>2.5063451776649703E-2</v>
      </c>
      <c r="B567" s="5">
        <v>-1.8591347872720765E-2</v>
      </c>
      <c r="C567" s="5">
        <v>-1.7574692442882123E-3</v>
      </c>
      <c r="D567" s="5">
        <v>-9.6852300242130651E-3</v>
      </c>
    </row>
    <row r="568" spans="1:4" x14ac:dyDescent="0.25">
      <c r="A568" s="5">
        <v>-8.3565459610027704E-3</v>
      </c>
      <c r="B568" s="5">
        <v>-2.0765027322404372E-2</v>
      </c>
      <c r="C568" s="5">
        <v>1.4222051056338003E-2</v>
      </c>
      <c r="D568" s="5">
        <v>1.6503667481662543E-2</v>
      </c>
    </row>
    <row r="569" spans="1:4" x14ac:dyDescent="0.25">
      <c r="A569" s="5">
        <v>1.4981273408239737E-2</v>
      </c>
      <c r="B569" s="5">
        <v>5.9523809523809312E-3</v>
      </c>
      <c r="C569" s="5">
        <v>5.9670726084244397E-3</v>
      </c>
      <c r="D569" s="5">
        <v>7.6167568651033246E-3</v>
      </c>
    </row>
    <row r="570" spans="1:4" x14ac:dyDescent="0.25">
      <c r="A570" s="5">
        <v>-5.2275522755227399E-3</v>
      </c>
      <c r="B570" s="5">
        <v>1.9970414201183395E-2</v>
      </c>
      <c r="C570" s="5">
        <v>1.3966405133597481E-2</v>
      </c>
      <c r="D570" s="5">
        <v>-1.9892580067635279E-3</v>
      </c>
    </row>
    <row r="571" spans="1:4" x14ac:dyDescent="0.25">
      <c r="A571" s="5">
        <v>2.256568778979906E-2</v>
      </c>
      <c r="B571" s="5">
        <v>-1.4865844815083351E-2</v>
      </c>
      <c r="C571" s="5">
        <v>3.9620283457866279E-3</v>
      </c>
      <c r="D571" s="5">
        <v>-2.9898345624875811E-3</v>
      </c>
    </row>
    <row r="572" spans="1:4" x14ac:dyDescent="0.25">
      <c r="A572" s="5">
        <v>3.355501813784767E-2</v>
      </c>
      <c r="B572" s="5">
        <v>-2.465955097534045E-2</v>
      </c>
      <c r="C572" s="5">
        <v>-5.6414874457040298E-3</v>
      </c>
      <c r="D572" s="5">
        <v>-4.7980807676929471E-3</v>
      </c>
    </row>
    <row r="573" spans="1:4" x14ac:dyDescent="0.25">
      <c r="A573" s="5">
        <v>4.3872477332553839E-3</v>
      </c>
      <c r="B573" s="5">
        <v>-1.5094339622641062E-3</v>
      </c>
      <c r="C573" s="5">
        <v>-2.4238872759235752E-3</v>
      </c>
      <c r="D573" s="5">
        <v>1.0044194455605115E-3</v>
      </c>
    </row>
    <row r="574" spans="1:4" x14ac:dyDescent="0.25">
      <c r="A574" s="5">
        <v>2.6208503203262179E-3</v>
      </c>
      <c r="B574" s="5">
        <v>1.133786848072571E-2</v>
      </c>
      <c r="C574" s="5">
        <v>3.8182206557726417E-3</v>
      </c>
      <c r="D574" s="5">
        <v>-6.823198876178993E-3</v>
      </c>
    </row>
    <row r="575" spans="1:4" x14ac:dyDescent="0.25">
      <c r="A575" s="5">
        <v>-1.2779552715655007E-2</v>
      </c>
      <c r="B575" s="5">
        <v>8.9686098654708779E-3</v>
      </c>
      <c r="C575" s="5">
        <v>1.0905705545949385E-3</v>
      </c>
      <c r="D575" s="5">
        <v>7.0721357850069833E-3</v>
      </c>
    </row>
    <row r="576" spans="1:4" x14ac:dyDescent="0.25">
      <c r="A576" s="5">
        <v>1.7358046484259981E-2</v>
      </c>
      <c r="B576" s="5">
        <v>2.4814814814814845E-2</v>
      </c>
      <c r="C576" s="5">
        <v>1.3285152513553555E-4</v>
      </c>
      <c r="D576" s="5">
        <v>2.207062600320997E-3</v>
      </c>
    </row>
    <row r="577" spans="1:4" x14ac:dyDescent="0.25">
      <c r="A577" s="5">
        <v>9.8322729901676453E-3</v>
      </c>
      <c r="B577" s="5">
        <v>9.3964582580412515E-3</v>
      </c>
      <c r="C577" s="5">
        <v>-3.9850163385669601E-3</v>
      </c>
      <c r="D577" s="5">
        <v>1.0010010010010895E-3</v>
      </c>
    </row>
    <row r="578" spans="1:4" x14ac:dyDescent="0.25">
      <c r="A578" s="5">
        <v>2.7205040091637933E-2</v>
      </c>
      <c r="B578" s="5">
        <v>-2.9717150017901872E-2</v>
      </c>
      <c r="C578" s="5">
        <v>1.2963111146675255E-2</v>
      </c>
      <c r="D578" s="5">
        <v>6.3999999999999613E-3</v>
      </c>
    </row>
    <row r="579" spans="1:4" x14ac:dyDescent="0.25">
      <c r="A579" s="5">
        <v>-2.1745190967382255E-2</v>
      </c>
      <c r="B579" s="5">
        <v>7.3800738007379074E-4</v>
      </c>
      <c r="C579" s="5">
        <v>-2.0538747136424895E-3</v>
      </c>
      <c r="D579" s="5">
        <v>5.1669316375198004E-3</v>
      </c>
    </row>
    <row r="580" spans="1:4" x14ac:dyDescent="0.25">
      <c r="A580" s="5">
        <v>-2.2513536620119678E-2</v>
      </c>
      <c r="B580" s="5">
        <v>-2.9498525073746729E-3</v>
      </c>
      <c r="C580" s="5">
        <v>3.4037837409957028E-3</v>
      </c>
      <c r="D580" s="5">
        <v>6.722024515618763E-3</v>
      </c>
    </row>
    <row r="581" spans="1:4" x14ac:dyDescent="0.25">
      <c r="A581" s="5">
        <v>7.2886297376093534E-3</v>
      </c>
      <c r="B581" s="5">
        <v>-2.9585798816568087E-2</v>
      </c>
      <c r="C581" s="5">
        <v>6.8370674240036955E-4</v>
      </c>
      <c r="D581" s="5">
        <v>-7.8554595443833808E-3</v>
      </c>
    </row>
    <row r="582" spans="1:4" x14ac:dyDescent="0.25">
      <c r="A582" s="5">
        <v>-1.3603473227206897E-2</v>
      </c>
      <c r="B582" s="5">
        <v>2.7439024390243816E-2</v>
      </c>
      <c r="C582" s="5">
        <v>-5.2556892836452818E-5</v>
      </c>
      <c r="D582" s="5">
        <v>-4.354711005542411E-3</v>
      </c>
    </row>
    <row r="583" spans="1:4" x14ac:dyDescent="0.25">
      <c r="A583" s="5">
        <v>-5.8685446009387743E-4</v>
      </c>
      <c r="B583" s="5">
        <v>1.0014836795252169E-2</v>
      </c>
      <c r="C583" s="5">
        <v>-5.6501629349311466E-3</v>
      </c>
      <c r="D583" s="5">
        <v>3.1809145129224614E-3</v>
      </c>
    </row>
    <row r="584" spans="1:4" x14ac:dyDescent="0.25">
      <c r="A584" s="5">
        <v>-1.3211978860833806E-2</v>
      </c>
      <c r="B584" s="5">
        <v>1.9096584649283876E-2</v>
      </c>
      <c r="C584" s="5">
        <v>5.8144144620353444E-4</v>
      </c>
      <c r="D584" s="5">
        <v>-2.7744748315496892E-3</v>
      </c>
    </row>
    <row r="585" spans="1:4" x14ac:dyDescent="0.25">
      <c r="A585" s="5">
        <v>2.9753049687593069E-3</v>
      </c>
      <c r="B585" s="5">
        <v>4.1801801801801819E-2</v>
      </c>
      <c r="C585" s="5">
        <v>1.3206899284186058E-3</v>
      </c>
      <c r="D585" s="5">
        <v>4.1732909379967875E-3</v>
      </c>
    </row>
    <row r="586" spans="1:4" x14ac:dyDescent="0.25">
      <c r="A586" s="5">
        <v>1.7798872738059579E-3</v>
      </c>
      <c r="B586" s="5">
        <v>-2.4213075060532718E-2</v>
      </c>
      <c r="C586" s="5">
        <v>-1.5800997124693295E-2</v>
      </c>
      <c r="D586" s="5">
        <v>-2.7706313081338196E-3</v>
      </c>
    </row>
    <row r="587" spans="1:4" x14ac:dyDescent="0.25">
      <c r="A587" s="5">
        <v>-1.3029315960912058E-2</v>
      </c>
      <c r="B587" s="5">
        <v>-1.4533853243530626E-2</v>
      </c>
      <c r="C587" s="5">
        <v>-4.449209327258119E-3</v>
      </c>
      <c r="D587" s="5">
        <v>-3.572137328835101E-3</v>
      </c>
    </row>
    <row r="588" spans="1:4" x14ac:dyDescent="0.25">
      <c r="A588" s="5">
        <v>1.5601560156015548E-2</v>
      </c>
      <c r="B588" s="5">
        <v>-8.6330935251798246E-3</v>
      </c>
      <c r="C588" s="5">
        <v>1.9841697178548445E-2</v>
      </c>
      <c r="D588" s="5">
        <v>-9.9581756622191264E-4</v>
      </c>
    </row>
    <row r="589" spans="1:4" x14ac:dyDescent="0.25">
      <c r="A589" s="5">
        <v>-7.976366322008821E-3</v>
      </c>
      <c r="B589" s="5">
        <v>4.0638606676342448E-2</v>
      </c>
      <c r="C589" s="5">
        <v>8.5531004989307657E-3</v>
      </c>
      <c r="D589" s="5">
        <v>8.5725677830941205E-3</v>
      </c>
    </row>
    <row r="590" spans="1:4" x14ac:dyDescent="0.25">
      <c r="A590" s="5">
        <v>-5.0625372245384215E-3</v>
      </c>
      <c r="B590" s="5">
        <v>1.6387726638772637E-2</v>
      </c>
      <c r="C590" s="5">
        <v>-6.8053919644028849E-4</v>
      </c>
      <c r="D590" s="5">
        <v>6.3253607432298686E-3</v>
      </c>
    </row>
    <row r="591" spans="1:4" x14ac:dyDescent="0.25">
      <c r="A591" s="5">
        <v>3.9808440586650784E-2</v>
      </c>
      <c r="B591" s="5">
        <v>-1.989708404802748E-2</v>
      </c>
      <c r="C591" s="5">
        <v>-1.1210351240210636E-2</v>
      </c>
      <c r="D591" s="5">
        <v>1.5714005107052564E-3</v>
      </c>
    </row>
    <row r="592" spans="1:4" x14ac:dyDescent="0.25">
      <c r="A592" s="5">
        <v>3.4542314335059832E-3</v>
      </c>
      <c r="B592" s="5">
        <v>1.1200560028001405E-2</v>
      </c>
      <c r="C592" s="5">
        <v>-6.9667028687981913E-3</v>
      </c>
      <c r="D592" s="5">
        <v>-2.745636399293927E-3</v>
      </c>
    </row>
    <row r="593" spans="1:4" x14ac:dyDescent="0.25">
      <c r="A593" s="5">
        <v>2.3809523809523725E-2</v>
      </c>
      <c r="B593" s="5">
        <v>-1.0730356524749074E-2</v>
      </c>
      <c r="C593" s="5">
        <v>-7.3090055484421601E-3</v>
      </c>
      <c r="D593" s="5">
        <v>3.736479842674445E-3</v>
      </c>
    </row>
    <row r="594" spans="1:4" x14ac:dyDescent="0.25">
      <c r="A594" s="5">
        <v>-8.1255253572429798E-3</v>
      </c>
      <c r="B594" s="5">
        <v>-8.39748075577329E-3</v>
      </c>
      <c r="C594" s="5">
        <v>1.8353307894878323E-2</v>
      </c>
      <c r="D594" s="5">
        <v>-3.9184952978055243E-4</v>
      </c>
    </row>
    <row r="595" spans="1:4" x14ac:dyDescent="0.25">
      <c r="A595" s="5">
        <v>-1.1299435028248039E-3</v>
      </c>
      <c r="B595" s="5">
        <v>2.1524347212420691E-2</v>
      </c>
      <c r="C595" s="5">
        <v>5.5413357257827478E-4</v>
      </c>
      <c r="D595" s="5">
        <v>-7.6440611524891677E-3</v>
      </c>
    </row>
    <row r="596" spans="1:4" x14ac:dyDescent="0.25">
      <c r="A596" s="5">
        <v>-3.1108597285067763E-3</v>
      </c>
      <c r="B596" s="5">
        <v>8.9810017271156894E-3</v>
      </c>
      <c r="C596" s="5">
        <v>-4.3251226330502934E-3</v>
      </c>
      <c r="D596" s="5">
        <v>-1.382579498321157E-2</v>
      </c>
    </row>
    <row r="597" spans="1:4" x14ac:dyDescent="0.25">
      <c r="A597" s="5">
        <v>-7.0921985815602939E-3</v>
      </c>
      <c r="B597" s="5">
        <v>3.3207805546045854E-2</v>
      </c>
      <c r="C597" s="5">
        <v>4.3703978386395725E-3</v>
      </c>
      <c r="D597" s="5">
        <v>-1.8025235329460765E-3</v>
      </c>
    </row>
    <row r="598" spans="1:4" x14ac:dyDescent="0.25">
      <c r="A598" s="5">
        <v>-4.228571428571426E-2</v>
      </c>
      <c r="B598" s="5">
        <v>4.9701789264413598E-2</v>
      </c>
      <c r="C598" s="5">
        <v>-1.3977161844985764E-3</v>
      </c>
      <c r="D598" s="5">
        <v>1.3041733547351608E-2</v>
      </c>
    </row>
    <row r="599" spans="1:4" x14ac:dyDescent="0.25">
      <c r="A599" s="5">
        <v>2.3866348448686736E-3</v>
      </c>
      <c r="B599" s="5">
        <v>-1.3257575757575801E-2</v>
      </c>
      <c r="C599" s="5">
        <v>-1.3468546981461049E-3</v>
      </c>
      <c r="D599" s="5">
        <v>-1.0299069122598481E-2</v>
      </c>
    </row>
    <row r="600" spans="1:4" x14ac:dyDescent="0.25">
      <c r="A600" s="5">
        <v>9.2261904761905544E-3</v>
      </c>
      <c r="B600" s="5">
        <v>-2.5591810620601008E-3</v>
      </c>
      <c r="C600" s="5">
        <v>3.4642337696682013E-3</v>
      </c>
      <c r="D600" s="5">
        <v>-8.8052831699019229E-3</v>
      </c>
    </row>
    <row r="601" spans="1:4" x14ac:dyDescent="0.25">
      <c r="A601" s="5">
        <v>-2.6540843409023851E-2</v>
      </c>
      <c r="B601" s="5">
        <v>-1.5715202052597799E-2</v>
      </c>
      <c r="C601" s="5">
        <v>-6.6146629420755776E-3</v>
      </c>
      <c r="D601" s="5">
        <v>-1.8170805572380599E-3</v>
      </c>
    </row>
    <row r="602" spans="1:4" x14ac:dyDescent="0.25">
      <c r="A602" s="5">
        <v>-8.4822780975462031E-3</v>
      </c>
      <c r="B602" s="5">
        <v>-4.8875855327468187E-3</v>
      </c>
      <c r="C602" s="5">
        <v>1.1937922801432466E-2</v>
      </c>
      <c r="D602" s="5">
        <v>-4.6521035598705573E-3</v>
      </c>
    </row>
    <row r="603" spans="1:4" x14ac:dyDescent="0.25">
      <c r="A603" s="5">
        <v>-2.5970058050717948E-2</v>
      </c>
      <c r="B603" s="5">
        <v>0.24361493123772093</v>
      </c>
      <c r="C603" s="5">
        <v>9.7784768645956532E-3</v>
      </c>
      <c r="D603" s="5">
        <v>-9.957325746799417E-3</v>
      </c>
    </row>
    <row r="604" spans="1:4" x14ac:dyDescent="0.25">
      <c r="A604" s="5">
        <v>8.7829360100375453E-3</v>
      </c>
      <c r="B604" s="5">
        <v>2.5539757767245819E-2</v>
      </c>
      <c r="C604" s="5">
        <v>-1.5836751648580227E-3</v>
      </c>
      <c r="D604" s="5">
        <v>1.847290640394128E-3</v>
      </c>
    </row>
    <row r="605" spans="1:4" x14ac:dyDescent="0.25">
      <c r="A605" s="5">
        <v>-9.0174129353234322E-3</v>
      </c>
      <c r="B605" s="5">
        <v>2.9781771501925514E-2</v>
      </c>
      <c r="C605" s="5">
        <v>5.4606443560345497E-4</v>
      </c>
      <c r="D605" s="5">
        <v>-2.4585125998770607E-3</v>
      </c>
    </row>
    <row r="606" spans="1:4" x14ac:dyDescent="0.25">
      <c r="A606" s="5">
        <v>-6.9030436146846341E-3</v>
      </c>
      <c r="B606" s="5">
        <v>-5.6843679880329123E-2</v>
      </c>
      <c r="C606" s="5">
        <v>-1.1175217007120986E-2</v>
      </c>
      <c r="D606" s="5">
        <v>5.5452865064695711E-3</v>
      </c>
    </row>
    <row r="607" spans="1:4" x14ac:dyDescent="0.25">
      <c r="A607" s="5">
        <v>-2.3064770932069489E-2</v>
      </c>
      <c r="B607" s="5">
        <v>5.1282051282051322E-2</v>
      </c>
      <c r="C607" s="5">
        <v>-7.4905382674516074E-3</v>
      </c>
      <c r="D607" s="5">
        <v>3.6764705882352811E-3</v>
      </c>
    </row>
    <row r="608" spans="1:4" x14ac:dyDescent="0.25">
      <c r="A608" s="5">
        <v>-2.1345407503234104E-2</v>
      </c>
      <c r="B608" s="5">
        <v>-1.1063615790797066E-2</v>
      </c>
      <c r="C608" s="5">
        <v>8.7122315494001512E-3</v>
      </c>
      <c r="D608" s="5">
        <v>9.5645095645096045E-3</v>
      </c>
    </row>
    <row r="609" spans="1:4" x14ac:dyDescent="0.25">
      <c r="A609" s="5">
        <v>4.957038995373475E-3</v>
      </c>
      <c r="B609" s="5">
        <v>-4.0681413679125589E-3</v>
      </c>
      <c r="C609" s="5">
        <v>1.2994854562637714E-2</v>
      </c>
      <c r="D609" s="5">
        <v>6.4503124370087761E-3</v>
      </c>
    </row>
    <row r="610" spans="1:4" x14ac:dyDescent="0.25">
      <c r="A610" s="5">
        <v>-6.9056231502795384E-3</v>
      </c>
      <c r="B610" s="5">
        <v>-1.3275465917794271E-2</v>
      </c>
      <c r="C610" s="5">
        <v>3.1098556508668551E-4</v>
      </c>
      <c r="D610" s="5">
        <v>0</v>
      </c>
    </row>
    <row r="611" spans="1:4" x14ac:dyDescent="0.25">
      <c r="A611" s="5">
        <v>2.3509933774834346E-2</v>
      </c>
      <c r="B611" s="5">
        <v>-3.0530401034928878E-2</v>
      </c>
      <c r="C611" s="5">
        <v>-5.4405554548044854E-3</v>
      </c>
      <c r="D611" s="5">
        <v>1.4019627478469854E-3</v>
      </c>
    </row>
    <row r="612" spans="1:4" x14ac:dyDescent="0.25">
      <c r="A612" s="5">
        <v>3.5587188612099752E-2</v>
      </c>
      <c r="B612" s="5">
        <v>2.7755537763544114E-2</v>
      </c>
      <c r="C612" s="5">
        <v>9.5860793456459259E-3</v>
      </c>
      <c r="D612" s="5">
        <v>1.4399999999999968E-2</v>
      </c>
    </row>
    <row r="613" spans="1:4" x14ac:dyDescent="0.25">
      <c r="A613" s="5">
        <v>-1.8744142455482615E-2</v>
      </c>
      <c r="B613" s="5">
        <v>6.7514931186705152E-3</v>
      </c>
      <c r="C613" s="5">
        <v>1.468121887659013E-2</v>
      </c>
      <c r="D613" s="5">
        <v>6.1119873817034875E-3</v>
      </c>
    </row>
    <row r="614" spans="1:4" x14ac:dyDescent="0.25">
      <c r="A614" s="5">
        <v>4.7755491881567025E-3</v>
      </c>
      <c r="B614" s="5">
        <v>1.8313128707763804E-2</v>
      </c>
      <c r="C614" s="5">
        <v>-1.932563698316625E-3</v>
      </c>
      <c r="D614" s="5">
        <v>6.6627474034881562E-3</v>
      </c>
    </row>
    <row r="615" spans="1:4" x14ac:dyDescent="0.25">
      <c r="A615" s="5">
        <v>2.2179974651457268E-3</v>
      </c>
      <c r="B615" s="5">
        <v>3.900709219858145E-2</v>
      </c>
      <c r="C615" s="5">
        <v>2.0636942675158476E-3</v>
      </c>
      <c r="D615" s="5">
        <v>7.7866459022775114E-3</v>
      </c>
    </row>
    <row r="616" spans="1:4" x14ac:dyDescent="0.25">
      <c r="A616" s="5">
        <v>-1.8337021814732846E-2</v>
      </c>
      <c r="B616" s="5">
        <v>4.8269137006338392E-2</v>
      </c>
      <c r="C616" s="5">
        <v>-3.2798555846533795E-3</v>
      </c>
      <c r="D616" s="5">
        <v>1.0044427274483292E-2</v>
      </c>
    </row>
    <row r="617" spans="1:4" x14ac:dyDescent="0.25">
      <c r="A617" s="5">
        <v>1.5780998389693934E-2</v>
      </c>
      <c r="B617" s="5">
        <v>-8.1395348837208781E-3</v>
      </c>
      <c r="C617" s="5">
        <v>5.9945921126474122E-3</v>
      </c>
      <c r="D617" s="5">
        <v>5.5459934978008274E-3</v>
      </c>
    </row>
    <row r="618" spans="1:4" x14ac:dyDescent="0.25">
      <c r="A618" s="5">
        <v>-1.4584654407102104E-2</v>
      </c>
      <c r="B618" s="5">
        <v>9.3786635404446983E-4</v>
      </c>
      <c r="C618" s="5">
        <v>1.6735552907167772E-3</v>
      </c>
      <c r="D618" s="5">
        <v>-1.4073792316470102E-2</v>
      </c>
    </row>
    <row r="619" spans="1:4" x14ac:dyDescent="0.25">
      <c r="A619" s="5">
        <v>5.1480051480050637E-3</v>
      </c>
      <c r="B619" s="5">
        <v>2.6235652377605945E-2</v>
      </c>
      <c r="C619" s="5">
        <v>9.1891755056578983E-3</v>
      </c>
      <c r="D619" s="5">
        <v>-8.6805555555555802E-3</v>
      </c>
    </row>
    <row r="620" spans="1:4" x14ac:dyDescent="0.25">
      <c r="A620" s="5">
        <v>-1.1203585147247064E-2</v>
      </c>
      <c r="B620" s="5">
        <v>-1.7575895914174855E-2</v>
      </c>
      <c r="C620" s="5">
        <v>6.5971002859579464E-3</v>
      </c>
      <c r="D620" s="5">
        <v>1.9459038723486088E-3</v>
      </c>
    </row>
    <row r="621" spans="1:4" x14ac:dyDescent="0.25">
      <c r="A621" s="5">
        <v>-6.4745872450633346E-4</v>
      </c>
      <c r="B621" s="5">
        <v>-2.3234200743493805E-4</v>
      </c>
      <c r="C621" s="5">
        <v>7.7250865957290138E-4</v>
      </c>
      <c r="D621" s="5">
        <v>8.351136142940474E-3</v>
      </c>
    </row>
    <row r="622" spans="1:4" x14ac:dyDescent="0.25">
      <c r="A622" s="5">
        <v>4.21120829284094E-3</v>
      </c>
      <c r="B622" s="5">
        <v>-1.9056472228677679E-2</v>
      </c>
      <c r="C622" s="5">
        <v>1.2823705179282774E-2</v>
      </c>
      <c r="D622" s="5">
        <v>-1.9260400616333273E-3</v>
      </c>
    </row>
    <row r="623" spans="1:4" x14ac:dyDescent="0.25">
      <c r="A623" s="5">
        <v>1.2580645161290427E-2</v>
      </c>
      <c r="B623" s="5">
        <v>-3.7431888178156791E-2</v>
      </c>
      <c r="C623" s="5">
        <v>-3.6877688998155911E-3</v>
      </c>
      <c r="D623" s="5">
        <v>-2.7016595908915253E-3</v>
      </c>
    </row>
    <row r="624" spans="1:4" x14ac:dyDescent="0.25">
      <c r="A624" s="5">
        <v>-3.9821599235425276E-2</v>
      </c>
      <c r="B624" s="5">
        <v>3.0765444253014973E-2</v>
      </c>
      <c r="C624" s="5">
        <v>-4.6144355336211751E-3</v>
      </c>
      <c r="D624" s="5">
        <v>-3.4829721362229504E-3</v>
      </c>
    </row>
    <row r="625" spans="1:4" x14ac:dyDescent="0.25">
      <c r="A625" s="5">
        <v>-2.6542800265427768E-3</v>
      </c>
      <c r="B625" s="5">
        <v>-1.8147086914995225E-2</v>
      </c>
      <c r="C625" s="5">
        <v>-5.4787049432296619E-3</v>
      </c>
      <c r="D625" s="5">
        <v>5.4368932038835194E-3</v>
      </c>
    </row>
    <row r="626" spans="1:4" x14ac:dyDescent="0.25">
      <c r="A626" s="5">
        <v>-6.986027944111739E-3</v>
      </c>
      <c r="B626" s="5">
        <v>-7.2957198443579507E-3</v>
      </c>
      <c r="C626" s="5">
        <v>3.6393548869555481E-3</v>
      </c>
      <c r="D626" s="5">
        <v>-6.7593665507917899E-3</v>
      </c>
    </row>
    <row r="627" spans="1:4" x14ac:dyDescent="0.25">
      <c r="A627" s="5">
        <v>-2.0100502512563345E-3</v>
      </c>
      <c r="B627" s="5">
        <v>3.6256736893679475E-2</v>
      </c>
      <c r="C627" s="5">
        <v>-7.5006830092144705E-3</v>
      </c>
      <c r="D627" s="5">
        <v>1.8666148162550966E-2</v>
      </c>
    </row>
    <row r="628" spans="1:4" x14ac:dyDescent="0.25">
      <c r="A628" s="5">
        <v>9.3991272239006829E-3</v>
      </c>
      <c r="B628" s="5">
        <v>2.6004728132387189E-3</v>
      </c>
      <c r="C628" s="5">
        <v>-4.1290258001551727E-3</v>
      </c>
      <c r="D628" s="5">
        <v>6.4897881275052249E-3</v>
      </c>
    </row>
    <row r="629" spans="1:4" x14ac:dyDescent="0.25">
      <c r="A629" s="5">
        <v>-1.396740937811769E-2</v>
      </c>
      <c r="B629" s="5">
        <v>-2.1221410044800493E-3</v>
      </c>
      <c r="C629" s="5">
        <v>1.1081515730224201E-2</v>
      </c>
      <c r="D629" s="5">
        <v>-5.689360895125839E-4</v>
      </c>
    </row>
    <row r="630" spans="1:4" x14ac:dyDescent="0.25">
      <c r="A630" s="5">
        <v>-1.4502529510961204E-2</v>
      </c>
      <c r="B630" s="5">
        <v>-5.1984877126654006E-3</v>
      </c>
      <c r="C630" s="5">
        <v>4.4734945448210439E-4</v>
      </c>
      <c r="D630" s="5">
        <v>-6.2618595825426615E-3</v>
      </c>
    </row>
    <row r="631" spans="1:4" x14ac:dyDescent="0.25">
      <c r="A631" s="5">
        <v>1.3689253935660561E-2</v>
      </c>
      <c r="B631" s="5">
        <v>9.5011876484560887E-3</v>
      </c>
      <c r="C631" s="5">
        <v>-9.936653831821296E-5</v>
      </c>
      <c r="D631" s="5">
        <v>-2.3104831010120286E-2</v>
      </c>
    </row>
    <row r="632" spans="1:4" x14ac:dyDescent="0.25">
      <c r="A632" s="5">
        <v>1.6542876434841425E-2</v>
      </c>
      <c r="B632" s="5">
        <v>-7.5294117647058956E-3</v>
      </c>
      <c r="C632" s="5">
        <v>1.1850637251248353E-2</v>
      </c>
      <c r="D632" s="5">
        <v>9.1868647380766166E-3</v>
      </c>
    </row>
    <row r="633" spans="1:4" x14ac:dyDescent="0.25">
      <c r="A633" s="5">
        <v>1.9262703420790395E-2</v>
      </c>
      <c r="B633" s="5">
        <v>5.2157420578473612E-3</v>
      </c>
      <c r="C633" s="5">
        <v>1.9151443724219064E-3</v>
      </c>
      <c r="D633" s="5">
        <v>-1.5494867325198669E-3</v>
      </c>
    </row>
    <row r="634" spans="1:4" x14ac:dyDescent="0.25">
      <c r="A634" s="5">
        <v>-2.8022157054415131E-2</v>
      </c>
      <c r="B634" s="5">
        <v>3.5377358490566113E-2</v>
      </c>
      <c r="C634" s="5">
        <v>-2.2300642062441645E-3</v>
      </c>
      <c r="D634" s="5">
        <v>2.5218234723569655E-3</v>
      </c>
    </row>
    <row r="635" spans="1:4" x14ac:dyDescent="0.25">
      <c r="A635" s="5">
        <v>-2.5477707006369421E-2</v>
      </c>
      <c r="B635" s="5">
        <v>4.738041002277904E-2</v>
      </c>
      <c r="C635" s="5">
        <v>-8.1542429080191381E-3</v>
      </c>
      <c r="D635" s="5">
        <v>-5.804953560371473E-3</v>
      </c>
    </row>
    <row r="636" spans="1:4" x14ac:dyDescent="0.25">
      <c r="A636" s="5">
        <v>1.3071895424836555E-2</v>
      </c>
      <c r="B636" s="5">
        <v>-1.1091779034362759E-2</v>
      </c>
      <c r="C636" s="5">
        <v>-2.3277121561052772E-3</v>
      </c>
      <c r="D636" s="5">
        <v>3.3086804203970033E-3</v>
      </c>
    </row>
    <row r="637" spans="1:4" x14ac:dyDescent="0.25">
      <c r="A637" s="5">
        <v>2.0033955857385433E-2</v>
      </c>
      <c r="B637" s="5">
        <v>2.1772597316912279E-2</v>
      </c>
      <c r="C637" s="5">
        <v>2.6806324306882789E-3</v>
      </c>
      <c r="D637" s="5">
        <v>1.3579049466536652E-3</v>
      </c>
    </row>
    <row r="638" spans="1:4" x14ac:dyDescent="0.25">
      <c r="A638" s="5">
        <v>6.6577896138482195E-3</v>
      </c>
      <c r="B638" s="5">
        <v>2.2169608265174334E-2</v>
      </c>
      <c r="C638" s="5">
        <v>6.4113671807313199E-3</v>
      </c>
      <c r="D638" s="5">
        <v>-1.9372336303757898E-3</v>
      </c>
    </row>
    <row r="639" spans="1:4" x14ac:dyDescent="0.25">
      <c r="A639" s="5">
        <v>5.2248677248677211E-2</v>
      </c>
      <c r="B639" s="5">
        <v>-8.6333965045273242E-3</v>
      </c>
      <c r="C639" s="5">
        <v>7.8709169618260688E-3</v>
      </c>
      <c r="D639" s="5">
        <v>3.8819875776407997E-4</v>
      </c>
    </row>
    <row r="640" spans="1:4" x14ac:dyDescent="0.25">
      <c r="A640" s="5">
        <v>1.1627906976744207E-2</v>
      </c>
      <c r="B640" s="5">
        <v>-3.3135089209855528E-2</v>
      </c>
      <c r="C640" s="5">
        <v>8.1511128465443505E-3</v>
      </c>
      <c r="D640" s="5">
        <v>1.8432285603414922E-2</v>
      </c>
    </row>
    <row r="641" spans="1:4" x14ac:dyDescent="0.25">
      <c r="A641" s="5">
        <v>-7.1450761105933402E-3</v>
      </c>
      <c r="B641" s="5">
        <v>-2.6581722319859447E-2</v>
      </c>
      <c r="C641" s="5">
        <v>-7.9883805374003636E-4</v>
      </c>
      <c r="D641" s="5">
        <v>5.7153743570204085E-3</v>
      </c>
    </row>
    <row r="642" spans="1:4" x14ac:dyDescent="0.25">
      <c r="A642" s="5">
        <v>3.1289111389232183E-4</v>
      </c>
      <c r="B642" s="5">
        <v>6.7704807041299997E-3</v>
      </c>
      <c r="C642" s="5">
        <v>3.4886256268624738E-3</v>
      </c>
      <c r="D642" s="5">
        <v>5.8723243038454331E-3</v>
      </c>
    </row>
    <row r="643" spans="1:4" x14ac:dyDescent="0.25">
      <c r="A643" s="5">
        <v>2.0644354081951866E-2</v>
      </c>
      <c r="B643" s="5">
        <v>2.3985653440932619E-2</v>
      </c>
      <c r="C643" s="5">
        <v>7.5806957823325583E-3</v>
      </c>
      <c r="D643" s="5">
        <v>-7.5329566854986929E-4</v>
      </c>
    </row>
    <row r="644" spans="1:4" x14ac:dyDescent="0.25">
      <c r="A644" s="5">
        <v>-8.2745939319645023E-3</v>
      </c>
      <c r="B644" s="5">
        <v>-5.035026269702314E-3</v>
      </c>
      <c r="C644" s="5">
        <v>2.1564634000239558E-3</v>
      </c>
      <c r="D644" s="5">
        <v>3.5808518658122512E-3</v>
      </c>
    </row>
    <row r="645" spans="1:4" x14ac:dyDescent="0.25">
      <c r="A645" s="5">
        <v>-2.9975278121137205E-2</v>
      </c>
      <c r="B645" s="5">
        <v>9.9009900990099098E-3</v>
      </c>
      <c r="C645" s="5">
        <v>-6.5271966527196135E-3</v>
      </c>
      <c r="D645" s="5">
        <v>-3.755868544600971E-3</v>
      </c>
    </row>
    <row r="646" spans="1:4" x14ac:dyDescent="0.25">
      <c r="A646" s="5">
        <v>3.1857279388340931E-3</v>
      </c>
      <c r="B646" s="5">
        <v>1.8518518518518601E-2</v>
      </c>
      <c r="C646" s="5">
        <v>1.2033115132847882E-4</v>
      </c>
      <c r="D646" s="5">
        <v>4.7125353440151674E-3</v>
      </c>
    </row>
    <row r="647" spans="1:4" x14ac:dyDescent="0.25">
      <c r="A647" s="5">
        <v>-6.3512226103524805E-3</v>
      </c>
      <c r="B647" s="5">
        <v>-4.2780748663107104E-4</v>
      </c>
      <c r="C647" s="5">
        <v>4.2351469066583824E-3</v>
      </c>
      <c r="D647" s="5">
        <v>-1.8761726078797558E-4</v>
      </c>
    </row>
    <row r="648" spans="1:4" x14ac:dyDescent="0.25">
      <c r="A648" s="5">
        <v>1.5659955257270708E-2</v>
      </c>
      <c r="B648" s="5">
        <v>-4.7078964262786682E-3</v>
      </c>
      <c r="C648" s="5">
        <v>2.9473078858457402E-3</v>
      </c>
      <c r="D648" s="5">
        <v>-4.6913116907487673E-3</v>
      </c>
    </row>
    <row r="649" spans="1:4" x14ac:dyDescent="0.25">
      <c r="A649" s="5">
        <v>-4.0906230333542792E-3</v>
      </c>
      <c r="B649" s="5">
        <v>-4.8161685658998032E-2</v>
      </c>
      <c r="C649" s="5">
        <v>2.3891437308876107E-4</v>
      </c>
      <c r="D649" s="5">
        <v>5.6561085972850478E-4</v>
      </c>
    </row>
    <row r="650" spans="1:4" x14ac:dyDescent="0.25">
      <c r="A650" s="5">
        <v>-4.1074249605055346E-2</v>
      </c>
      <c r="B650" s="5">
        <v>5.4212785181839696E-3</v>
      </c>
      <c r="C650" s="5">
        <v>-6.7835475087183461E-3</v>
      </c>
      <c r="D650" s="5">
        <v>3.7686074995280094E-4</v>
      </c>
    </row>
    <row r="651" spans="1:4" x14ac:dyDescent="0.25">
      <c r="A651" s="5">
        <v>1.2191103789126911E-2</v>
      </c>
      <c r="B651" s="5">
        <v>3.8193664345091971E-3</v>
      </c>
      <c r="C651" s="5">
        <v>9.7397912558319089E-3</v>
      </c>
      <c r="D651" s="5">
        <v>-5.8391410811828859E-3</v>
      </c>
    </row>
    <row r="652" spans="1:4" x14ac:dyDescent="0.25">
      <c r="A652" s="5">
        <v>2.24609375E-2</v>
      </c>
      <c r="B652" s="5">
        <v>1.6562220232766434E-2</v>
      </c>
      <c r="C652" s="5">
        <v>1.9291685521709567E-3</v>
      </c>
      <c r="D652" s="5">
        <v>1.3641530882910091E-2</v>
      </c>
    </row>
    <row r="653" spans="1:4" x14ac:dyDescent="0.25">
      <c r="A653" s="5">
        <v>-3.7567653613498897E-2</v>
      </c>
      <c r="B653" s="5">
        <v>-1.6732716864817254E-2</v>
      </c>
      <c r="C653" s="5">
        <v>-3.0902348578492056E-3</v>
      </c>
      <c r="D653" s="5">
        <v>9.3457943925234765E-4</v>
      </c>
    </row>
    <row r="654" spans="1:4" x14ac:dyDescent="0.25">
      <c r="A654" s="5">
        <v>-3.1425736023817374E-2</v>
      </c>
      <c r="B654" s="5">
        <v>-4.7245857590685225E-2</v>
      </c>
      <c r="C654" s="5">
        <v>-1.3853784157565885E-2</v>
      </c>
      <c r="D654" s="5">
        <v>1.6806722689075571E-3</v>
      </c>
    </row>
    <row r="655" spans="1:4" x14ac:dyDescent="0.25">
      <c r="A655" s="5">
        <v>0</v>
      </c>
      <c r="B655" s="5">
        <v>-3.7602820211516397E-3</v>
      </c>
      <c r="C655" s="5">
        <v>-2.8290253161495915E-3</v>
      </c>
      <c r="D655" s="5">
        <v>-4.1014168530947304E-3</v>
      </c>
    </row>
    <row r="656" spans="1:4" x14ac:dyDescent="0.25">
      <c r="A656" s="5">
        <v>9.5628415300545999E-3</v>
      </c>
      <c r="B656" s="5">
        <v>-3.6329322953526755E-2</v>
      </c>
      <c r="C656" s="5">
        <v>-4.8981571290009907E-3</v>
      </c>
      <c r="D656" s="5">
        <v>5.8030700112317035E-3</v>
      </c>
    </row>
    <row r="657" spans="1:4" x14ac:dyDescent="0.25">
      <c r="A657" s="5">
        <v>-7.7807848443842698E-3</v>
      </c>
      <c r="B657" s="5">
        <v>7.0991432068543414E-2</v>
      </c>
      <c r="C657" s="5">
        <v>9.0160339197815631E-3</v>
      </c>
      <c r="D657" s="5">
        <v>-7.4446305602084983E-3</v>
      </c>
    </row>
    <row r="658" spans="1:4" x14ac:dyDescent="0.25">
      <c r="A658" s="5">
        <v>-8.5236958745311675E-3</v>
      </c>
      <c r="B658" s="5">
        <v>4.3428571428572038E-3</v>
      </c>
      <c r="C658" s="5">
        <v>-4.3228361669243043E-3</v>
      </c>
      <c r="D658" s="5">
        <v>-5.0628164260265729E-3</v>
      </c>
    </row>
    <row r="659" spans="1:4" x14ac:dyDescent="0.25">
      <c r="A659" s="5">
        <v>1.7193947730398396E-3</v>
      </c>
      <c r="B659" s="5">
        <v>-1.0241238051888923E-2</v>
      </c>
      <c r="C659" s="5">
        <v>-6.6458075626379953E-3</v>
      </c>
      <c r="D659" s="5">
        <v>5.6539766302288186E-4</v>
      </c>
    </row>
    <row r="660" spans="1:4" x14ac:dyDescent="0.25">
      <c r="A660" s="5">
        <v>1.373154823206324E-3</v>
      </c>
      <c r="B660" s="5">
        <v>-3.4490687514371343E-3</v>
      </c>
      <c r="C660" s="5">
        <v>5.8600903430594542E-4</v>
      </c>
      <c r="D660" s="5">
        <v>-2.2414767376153666E-2</v>
      </c>
    </row>
    <row r="661" spans="1:4" x14ac:dyDescent="0.25">
      <c r="A661" s="5">
        <v>9.9417209461776235E-3</v>
      </c>
      <c r="B661" s="5">
        <v>-9.2293493308726049E-4</v>
      </c>
      <c r="C661" s="5">
        <v>-9.2730422899534037E-4</v>
      </c>
      <c r="D661" s="5">
        <v>1.4258188824662898E-2</v>
      </c>
    </row>
    <row r="662" spans="1:4" x14ac:dyDescent="0.25">
      <c r="A662" s="5">
        <v>-1.731160896130346E-2</v>
      </c>
      <c r="B662" s="5">
        <v>8.4757505773672026E-2</v>
      </c>
      <c r="C662" s="5">
        <v>5.6422656994210563E-3</v>
      </c>
      <c r="D662" s="5">
        <v>-2.6595744680850686E-3</v>
      </c>
    </row>
    <row r="663" spans="1:4" x14ac:dyDescent="0.25">
      <c r="A663" s="5">
        <v>-2.5561312607944697E-2</v>
      </c>
      <c r="B663" s="5">
        <v>-2.767724079199485E-2</v>
      </c>
      <c r="C663" s="5">
        <v>-1.1464101816768713E-2</v>
      </c>
      <c r="D663" s="5">
        <v>-3.0476190476190768E-3</v>
      </c>
    </row>
    <row r="664" spans="1:4" x14ac:dyDescent="0.25">
      <c r="A664" s="5">
        <v>-1.3470400567174745E-2</v>
      </c>
      <c r="B664" s="5">
        <v>3.1749507335230964E-2</v>
      </c>
      <c r="C664" s="5">
        <v>-7.3955773955773907E-3</v>
      </c>
      <c r="D664" s="5">
        <v>6.8781047000381346E-3</v>
      </c>
    </row>
    <row r="665" spans="1:4" x14ac:dyDescent="0.25">
      <c r="A665" s="5">
        <v>-7.905138339920903E-3</v>
      </c>
      <c r="B665" s="5">
        <v>8.4889643463492703E-4</v>
      </c>
      <c r="C665" s="5">
        <v>-8.0942597589048759E-3</v>
      </c>
      <c r="D665" s="5">
        <v>-7.5901328273244584E-3</v>
      </c>
    </row>
    <row r="666" spans="1:4" x14ac:dyDescent="0.25">
      <c r="A666" s="5">
        <v>-5.7950018109380608E-3</v>
      </c>
      <c r="B666" s="5">
        <v>-2.4173027989821905E-2</v>
      </c>
      <c r="C666" s="5">
        <v>9.233379916151474E-4</v>
      </c>
      <c r="D666" s="5">
        <v>5.9273422562140521E-3</v>
      </c>
    </row>
    <row r="667" spans="1:4" x14ac:dyDescent="0.25">
      <c r="A667" s="5">
        <v>9.4717668488160101E-3</v>
      </c>
      <c r="B667" s="5">
        <v>1.7601043024771945E-2</v>
      </c>
      <c r="C667" s="5">
        <v>6.606995936074167E-3</v>
      </c>
      <c r="D667" s="5">
        <v>5.7023379585630085E-3</v>
      </c>
    </row>
    <row r="668" spans="1:4" x14ac:dyDescent="0.25">
      <c r="A668" s="5">
        <v>8.6611331649224521E-3</v>
      </c>
      <c r="B668" s="5">
        <v>4.1639974375400346E-2</v>
      </c>
      <c r="C668" s="5">
        <v>-2.7988309307970249E-3</v>
      </c>
      <c r="D668" s="5">
        <v>8.3160083160083165E-3</v>
      </c>
    </row>
    <row r="669" spans="1:4" x14ac:dyDescent="0.25">
      <c r="A669" s="5">
        <v>2.8264758497316578E-2</v>
      </c>
      <c r="B669" s="5">
        <v>9.8400984009840986E-3</v>
      </c>
      <c r="C669" s="5">
        <v>1.0779662700876713E-2</v>
      </c>
      <c r="D669" s="5">
        <v>7.1227741330834871E-3</v>
      </c>
    </row>
    <row r="670" spans="1:4" x14ac:dyDescent="0.25">
      <c r="A670" s="5">
        <v>-2.0876826722338038E-3</v>
      </c>
      <c r="B670" s="5">
        <v>1.8270401948843329E-3</v>
      </c>
      <c r="C670" s="5">
        <v>-1.3294016463939018E-2</v>
      </c>
      <c r="D670" s="5">
        <v>8.7474409082448634E-3</v>
      </c>
    </row>
    <row r="671" spans="1:4" x14ac:dyDescent="0.25">
      <c r="A671" s="5">
        <v>-9.7629009762900676E-3</v>
      </c>
      <c r="B671" s="5">
        <v>-1.7021276595744705E-2</v>
      </c>
      <c r="C671" s="5">
        <v>6.6244956915872955E-3</v>
      </c>
      <c r="D671" s="5">
        <v>-6.2730627306273323E-3</v>
      </c>
    </row>
    <row r="672" spans="1:4" x14ac:dyDescent="0.25">
      <c r="A672" s="5">
        <v>2.1126760563380254E-2</v>
      </c>
      <c r="B672" s="5">
        <v>8.2457225314369609E-4</v>
      </c>
      <c r="C672" s="5">
        <v>6.5809005442849511E-3</v>
      </c>
      <c r="D672" s="5">
        <v>-8.1693278871147745E-3</v>
      </c>
    </row>
    <row r="673" spans="1:4" x14ac:dyDescent="0.25">
      <c r="A673" s="5">
        <v>1.8275862068965587E-2</v>
      </c>
      <c r="B673" s="5">
        <v>-3.0690010298661141E-2</v>
      </c>
      <c r="C673" s="5">
        <v>1.420636091038685E-2</v>
      </c>
      <c r="D673" s="5">
        <v>7.4878322725571156E-3</v>
      </c>
    </row>
    <row r="674" spans="1:4" x14ac:dyDescent="0.25">
      <c r="A674" s="5">
        <v>-3.3863867253636215E-4</v>
      </c>
      <c r="B674" s="5">
        <v>-1.7424564385890351E-2</v>
      </c>
      <c r="C674" s="5">
        <v>4.1682822799533614E-3</v>
      </c>
      <c r="D674" s="5">
        <v>1.2448903753251583E-2</v>
      </c>
    </row>
    <row r="675" spans="1:4" x14ac:dyDescent="0.25">
      <c r="A675" s="5">
        <v>-8.807588075880779E-3</v>
      </c>
      <c r="B675" s="5">
        <v>-1.4489619377162644E-2</v>
      </c>
      <c r="C675" s="5">
        <v>-1.2790809923737267E-3</v>
      </c>
      <c r="D675" s="5">
        <v>1.8351991191043471E-3</v>
      </c>
    </row>
    <row r="676" spans="1:4" x14ac:dyDescent="0.25">
      <c r="A676" s="5">
        <v>-5.8099794941900429E-3</v>
      </c>
      <c r="B676" s="5">
        <v>-8.5582620144831756E-3</v>
      </c>
      <c r="C676" s="5">
        <v>2.1264770557958279E-3</v>
      </c>
      <c r="D676" s="5">
        <v>3.4804909324051003E-3</v>
      </c>
    </row>
    <row r="677" spans="1:4" x14ac:dyDescent="0.25">
      <c r="A677" s="5">
        <v>-2.0625644551392264E-2</v>
      </c>
      <c r="B677" s="5">
        <v>-6.861443116423227E-3</v>
      </c>
      <c r="C677" s="5">
        <v>-4.3644956716741845E-3</v>
      </c>
      <c r="D677" s="5">
        <v>1.0952902519167917E-3</v>
      </c>
    </row>
    <row r="678" spans="1:4" x14ac:dyDescent="0.25">
      <c r="A678" s="5">
        <v>-7.0200070200066023E-4</v>
      </c>
      <c r="B678" s="5">
        <v>1.3817695564965371E-2</v>
      </c>
      <c r="C678" s="5">
        <v>-6.9023976749817972E-3</v>
      </c>
      <c r="D678" s="5">
        <v>1.8234865062005667E-4</v>
      </c>
    </row>
    <row r="679" spans="1:4" x14ac:dyDescent="0.25">
      <c r="A679" s="5">
        <v>-6.673691605198484E-3</v>
      </c>
      <c r="B679" s="5">
        <v>1.9784568036931294E-3</v>
      </c>
      <c r="C679" s="5">
        <v>-2.9752469211071775E-3</v>
      </c>
      <c r="D679" s="5">
        <v>4.1932543299909586E-3</v>
      </c>
    </row>
    <row r="680" spans="1:4" x14ac:dyDescent="0.25">
      <c r="A680" s="5">
        <v>2.1216407355020284E-3</v>
      </c>
      <c r="B680" s="5">
        <v>-3.6858271171566481E-2</v>
      </c>
      <c r="C680" s="5">
        <v>1.3697624929678298E-3</v>
      </c>
      <c r="D680" s="5">
        <v>-3.6310820624546603E-3</v>
      </c>
    </row>
    <row r="681" spans="1:4" x14ac:dyDescent="0.25">
      <c r="A681" s="5">
        <v>1.5172900494001329E-2</v>
      </c>
      <c r="B681" s="5">
        <v>1.5945330296127658E-3</v>
      </c>
      <c r="C681" s="5">
        <v>6.5707516060480309E-3</v>
      </c>
      <c r="D681" s="5">
        <v>-7.4708454810495928E-3</v>
      </c>
    </row>
    <row r="682" spans="1:4" x14ac:dyDescent="0.25">
      <c r="A682" s="5">
        <v>6.9516857838025636E-4</v>
      </c>
      <c r="B682" s="5">
        <v>-1.0234250625426378E-2</v>
      </c>
      <c r="C682" s="5">
        <v>-5.3630363036303308E-3</v>
      </c>
      <c r="D682" s="5">
        <v>-1.8358729575917998E-4</v>
      </c>
    </row>
    <row r="683" spans="1:4" x14ac:dyDescent="0.25">
      <c r="A683" s="5">
        <v>-2.4313997915943464E-3</v>
      </c>
      <c r="B683" s="5">
        <v>-2.9411764705882359E-2</v>
      </c>
      <c r="C683" s="5">
        <v>1.1711030326688743E-3</v>
      </c>
      <c r="D683" s="5">
        <v>3.3051781123760726E-3</v>
      </c>
    </row>
    <row r="684" spans="1:4" x14ac:dyDescent="0.25">
      <c r="A684" s="5">
        <v>1.3579387186629432E-2</v>
      </c>
      <c r="B684" s="5">
        <v>-2.8882575757575801E-2</v>
      </c>
      <c r="C684" s="5">
        <v>8.651151456074091E-3</v>
      </c>
      <c r="D684" s="5">
        <v>-1.2262079062957509E-2</v>
      </c>
    </row>
    <row r="685" spans="1:4" x14ac:dyDescent="0.25">
      <c r="A685" s="5">
        <v>2.0954998282377124E-2</v>
      </c>
      <c r="B685" s="5">
        <v>1.4383227693807843E-2</v>
      </c>
      <c r="C685" s="5">
        <v>-1.2466779415317708E-2</v>
      </c>
      <c r="D685" s="5">
        <v>2.7793218454696955E-3</v>
      </c>
    </row>
    <row r="686" spans="1:4" x14ac:dyDescent="0.25">
      <c r="A686" s="5">
        <v>1.0094212651412526E-3</v>
      </c>
      <c r="B686" s="5">
        <v>1.4659937515020482E-2</v>
      </c>
      <c r="C686" s="5">
        <v>1.1009443656113671E-3</v>
      </c>
      <c r="D686" s="5">
        <v>4.4345898004434225E-3</v>
      </c>
    </row>
    <row r="687" spans="1:4" x14ac:dyDescent="0.25">
      <c r="A687" s="5">
        <v>-1.1764705882352899E-2</v>
      </c>
      <c r="B687" s="5">
        <v>-7.3424917100900489E-3</v>
      </c>
      <c r="C687" s="5">
        <v>-2.0039590410322328E-3</v>
      </c>
      <c r="D687" s="5">
        <v>-3.4952170713760111E-3</v>
      </c>
    </row>
    <row r="688" spans="1:4" x14ac:dyDescent="0.25">
      <c r="A688" s="5">
        <v>1.0544217687074919E-2</v>
      </c>
      <c r="B688" s="5">
        <v>1.336196611787166E-2</v>
      </c>
      <c r="C688" s="5">
        <v>-9.3542620662634413E-3</v>
      </c>
      <c r="D688" s="5">
        <v>-4.7997046335610527E-3</v>
      </c>
    </row>
    <row r="689" spans="1:4" x14ac:dyDescent="0.25">
      <c r="A689" s="5">
        <v>-2.6926960619320095E-2</v>
      </c>
      <c r="B689" s="5">
        <v>1.4598540145985384E-2</v>
      </c>
      <c r="C689" s="5">
        <v>-1.6388579903596545E-2</v>
      </c>
      <c r="D689" s="5">
        <v>5.008347245408995E-3</v>
      </c>
    </row>
    <row r="690" spans="1:4" x14ac:dyDescent="0.25">
      <c r="A690" s="5">
        <v>-1.3836042891732792E-3</v>
      </c>
      <c r="B690" s="5">
        <v>9.5149686702251657E-3</v>
      </c>
      <c r="C690" s="5">
        <v>-2.4125452352231624E-3</v>
      </c>
      <c r="D690" s="5">
        <v>-1.6057585825027698E-2</v>
      </c>
    </row>
    <row r="691" spans="1:4" x14ac:dyDescent="0.25">
      <c r="A691" s="5">
        <v>-1.2469691721510245E-2</v>
      </c>
      <c r="B691" s="5">
        <v>2.9425287356321883E-2</v>
      </c>
      <c r="C691" s="5">
        <v>4.1565900846431969E-3</v>
      </c>
      <c r="D691" s="5">
        <v>1.1254924029262536E-3</v>
      </c>
    </row>
    <row r="692" spans="1:4" x14ac:dyDescent="0.25">
      <c r="A692" s="5">
        <v>-2.7008067344791331E-2</v>
      </c>
      <c r="B692" s="5">
        <v>-2.8137561411344381E-2</v>
      </c>
      <c r="C692" s="5">
        <v>-1.4675999096861569E-2</v>
      </c>
      <c r="D692" s="5">
        <v>-6.3706201986134525E-3</v>
      </c>
    </row>
    <row r="693" spans="1:4" x14ac:dyDescent="0.25">
      <c r="A693" s="5">
        <v>-2.9920692141312211E-2</v>
      </c>
      <c r="B693" s="5">
        <v>1.1948529411764719E-2</v>
      </c>
      <c r="C693" s="5">
        <v>2.2914757103564831E-4</v>
      </c>
      <c r="D693" s="5">
        <v>1.2068640392230767E-2</v>
      </c>
    </row>
    <row r="694" spans="1:4" x14ac:dyDescent="0.25">
      <c r="A694" s="5">
        <v>5.2025269416573483E-3</v>
      </c>
      <c r="B694" s="5">
        <v>1.4759309718437752E-2</v>
      </c>
      <c r="C694" s="5">
        <v>2.0109456535573056E-3</v>
      </c>
      <c r="D694" s="5">
        <v>-1.1924725172349548E-2</v>
      </c>
    </row>
    <row r="695" spans="1:4" x14ac:dyDescent="0.25">
      <c r="A695" s="5">
        <v>-5.1756007393715109E-3</v>
      </c>
      <c r="B695" s="5">
        <v>2.3942716491385019E-2</v>
      </c>
      <c r="C695" s="5">
        <v>-2.3879687023676821E-3</v>
      </c>
      <c r="D695" s="5">
        <v>-1.678295304544597E-2</v>
      </c>
    </row>
    <row r="696" spans="1:4" x14ac:dyDescent="0.25">
      <c r="A696" s="5">
        <v>-3.4188034188034178E-2</v>
      </c>
      <c r="B696" s="5">
        <v>-1.0708041958041981E-2</v>
      </c>
      <c r="C696" s="5">
        <v>-7.6394194041262686E-5</v>
      </c>
      <c r="D696" s="5">
        <v>-3.6440352896048855E-3</v>
      </c>
    </row>
    <row r="697" spans="1:4" x14ac:dyDescent="0.25">
      <c r="A697" s="5">
        <v>3.0781069642169534E-3</v>
      </c>
      <c r="B697" s="5">
        <v>1.1707532582283964E-2</v>
      </c>
      <c r="C697" s="5">
        <v>-1.3446405378562121E-2</v>
      </c>
      <c r="D697" s="5">
        <v>1.1164581328200196E-2</v>
      </c>
    </row>
    <row r="698" spans="1:4" x14ac:dyDescent="0.25">
      <c r="A698" s="5">
        <v>-6.1373225930188013E-3</v>
      </c>
      <c r="B698" s="5">
        <v>2.2052401746724959E-2</v>
      </c>
      <c r="C698" s="5">
        <v>7.356927127700752E-3</v>
      </c>
      <c r="D698" s="5">
        <v>3.9977155910908557E-3</v>
      </c>
    </row>
    <row r="699" spans="1:4" x14ac:dyDescent="0.25">
      <c r="A699" s="5">
        <v>1.582400617522195E-2</v>
      </c>
      <c r="B699" s="5">
        <v>2.7771843623156656E-3</v>
      </c>
      <c r="C699" s="5">
        <v>-8.4563345633459353E-4</v>
      </c>
      <c r="D699" s="5">
        <v>4.550625711035261E-3</v>
      </c>
    </row>
    <row r="700" spans="1:4" x14ac:dyDescent="0.25">
      <c r="A700" s="5">
        <v>2.1656534954407336E-2</v>
      </c>
      <c r="B700" s="5">
        <v>-3.1529612270984275E-2</v>
      </c>
      <c r="C700" s="5">
        <v>1.1925829037470193E-2</v>
      </c>
      <c r="D700" s="5">
        <v>5.6625141562853809E-3</v>
      </c>
    </row>
    <row r="701" spans="1:4" x14ac:dyDescent="0.25">
      <c r="A701" s="5">
        <v>2.4172554853105321E-2</v>
      </c>
      <c r="B701" s="5">
        <v>1.4078310602727573E-2</v>
      </c>
      <c r="C701" s="5">
        <v>6.6656528791564362E-3</v>
      </c>
      <c r="D701" s="5">
        <v>8.633633633633675E-3</v>
      </c>
    </row>
    <row r="702" spans="1:4" x14ac:dyDescent="0.25">
      <c r="A702" s="5">
        <v>9.8039215686274161E-3</v>
      </c>
      <c r="B702" s="5">
        <v>-4.6854663774403504E-2</v>
      </c>
      <c r="C702" s="5">
        <v>5.1612578363000594E-3</v>
      </c>
      <c r="D702" s="5">
        <v>1.3025679196130291E-3</v>
      </c>
    </row>
    <row r="703" spans="1:4" x14ac:dyDescent="0.25">
      <c r="A703" s="5">
        <v>1.8338727076591121E-2</v>
      </c>
      <c r="B703" s="5">
        <v>-3.959945380063723E-2</v>
      </c>
      <c r="C703" s="5">
        <v>4.2330427812844462E-3</v>
      </c>
      <c r="D703" s="5">
        <v>7.4335625348442846E-4</v>
      </c>
    </row>
    <row r="704" spans="1:4" x14ac:dyDescent="0.25">
      <c r="A704" s="5">
        <v>-2.0480225988700584E-2</v>
      </c>
      <c r="B704" s="5">
        <v>-2.3696682464454666E-3</v>
      </c>
      <c r="C704" s="5">
        <v>-6.0110243683435538E-3</v>
      </c>
      <c r="D704" s="5">
        <v>-4.8282265552460624E-3</v>
      </c>
    </row>
    <row r="705" spans="1:4" x14ac:dyDescent="0.25">
      <c r="A705" s="5">
        <v>4.3619322278298567E-2</v>
      </c>
      <c r="B705" s="5">
        <v>-1.6864608076009535E-2</v>
      </c>
      <c r="C705" s="5">
        <v>-5.2694971394158241E-3</v>
      </c>
      <c r="D705" s="5">
        <v>-1.2502332524724769E-2</v>
      </c>
    </row>
    <row r="706" spans="1:4" x14ac:dyDescent="0.25">
      <c r="A706" s="5">
        <v>1.7271157167531026E-3</v>
      </c>
      <c r="B706" s="5">
        <v>3.8173471853104601E-2</v>
      </c>
      <c r="C706" s="5">
        <v>1.0468694818626778E-2</v>
      </c>
      <c r="D706" s="5">
        <v>1.4172335600907138E-2</v>
      </c>
    </row>
    <row r="707" spans="1:4" x14ac:dyDescent="0.25">
      <c r="A707" s="5">
        <v>1.8275862068965587E-2</v>
      </c>
      <c r="B707" s="5">
        <v>1.605771468466366E-2</v>
      </c>
      <c r="C707" s="5">
        <v>2.4964425693330128E-5</v>
      </c>
      <c r="D707" s="5">
        <v>1.3974287311347089E-2</v>
      </c>
    </row>
    <row r="708" spans="1:4" x14ac:dyDescent="0.25">
      <c r="A708" s="5">
        <v>-2.7091093802912303E-3</v>
      </c>
      <c r="B708" s="5">
        <v>-4.3060009161704049E-2</v>
      </c>
      <c r="C708" s="5">
        <v>-1.3380598132707533E-2</v>
      </c>
      <c r="D708" s="5">
        <v>-3.1238515251745813E-3</v>
      </c>
    </row>
    <row r="709" spans="1:4" x14ac:dyDescent="0.25">
      <c r="A709" s="5">
        <v>2.0373514431240025E-3</v>
      </c>
      <c r="B709" s="5">
        <v>-3.4705600765916667E-2</v>
      </c>
      <c r="C709" s="5">
        <v>-8.4762916856434556E-3</v>
      </c>
      <c r="D709" s="5">
        <v>-6.0829493087557474E-3</v>
      </c>
    </row>
    <row r="710" spans="1:4" x14ac:dyDescent="0.25">
      <c r="A710" s="5">
        <v>-1.0166045408336322E-3</v>
      </c>
      <c r="B710" s="5">
        <v>4.215224398710582E-3</v>
      </c>
      <c r="C710" s="5">
        <v>-1.245310944956235E-2</v>
      </c>
      <c r="D710" s="5">
        <v>-3.7091988130564246E-3</v>
      </c>
    </row>
    <row r="711" spans="1:4" x14ac:dyDescent="0.25">
      <c r="A711" s="5">
        <v>-8.141112618724522E-3</v>
      </c>
      <c r="B711" s="5">
        <v>1.6296296296296253E-2</v>
      </c>
      <c r="C711" s="5">
        <v>-1.7571513475800327E-3</v>
      </c>
      <c r="D711" s="5">
        <v>1.1541325390915791E-2</v>
      </c>
    </row>
    <row r="712" spans="1:4" x14ac:dyDescent="0.25">
      <c r="A712" s="5">
        <v>6.8399452804368543E-4</v>
      </c>
      <c r="B712" s="5">
        <v>-9.2322643343051292E-3</v>
      </c>
      <c r="C712" s="5">
        <v>7.4810385441743676E-3</v>
      </c>
      <c r="D712" s="5">
        <v>2.3923444976077235E-3</v>
      </c>
    </row>
    <row r="713" spans="1:4" x14ac:dyDescent="0.25">
      <c r="A713" s="5">
        <v>-1.6404647983595311E-2</v>
      </c>
      <c r="B713" s="5">
        <v>3.8008827856792493E-2</v>
      </c>
      <c r="C713" s="5">
        <v>-1.4105858170606389E-2</v>
      </c>
      <c r="D713" s="5">
        <v>8.9957774921975986E-3</v>
      </c>
    </row>
    <row r="714" spans="1:4" x14ac:dyDescent="0.25">
      <c r="A714" s="5">
        <v>-9.0340514246004533E-3</v>
      </c>
      <c r="B714" s="5">
        <v>2.7876210725253925E-2</v>
      </c>
      <c r="C714" s="5">
        <v>-1.2274895103072669E-2</v>
      </c>
      <c r="D714" s="5">
        <v>3.8209606986898681E-3</v>
      </c>
    </row>
    <row r="715" spans="1:4" x14ac:dyDescent="0.25">
      <c r="A715" s="5">
        <v>2.3842917251051921E-2</v>
      </c>
      <c r="B715" s="5">
        <v>3.4474833371638702E-2</v>
      </c>
      <c r="C715" s="5">
        <v>-4.4327176781002731E-3</v>
      </c>
      <c r="D715" s="5">
        <v>-5.0752220409643334E-3</v>
      </c>
    </row>
    <row r="716" spans="1:4" x14ac:dyDescent="0.25">
      <c r="A716" s="5">
        <v>-1.4726027397260255E-2</v>
      </c>
      <c r="B716" s="5">
        <v>1.6440790935347671E-2</v>
      </c>
      <c r="C716" s="5">
        <v>1.2032227287183339E-2</v>
      </c>
      <c r="D716" s="5">
        <v>1.2752778283839916E-3</v>
      </c>
    </row>
    <row r="717" spans="1:4" x14ac:dyDescent="0.25">
      <c r="A717" s="5">
        <v>-2.6416405978449742E-2</v>
      </c>
      <c r="B717" s="5">
        <v>4.590163934426128E-3</v>
      </c>
      <c r="C717" s="5">
        <v>6.0493374535171007E-3</v>
      </c>
      <c r="D717" s="5">
        <v>4.7307132459970536E-3</v>
      </c>
    </row>
    <row r="718" spans="1:4" x14ac:dyDescent="0.25">
      <c r="A718" s="5">
        <v>3.5701535166012821E-3</v>
      </c>
      <c r="B718" s="5">
        <v>1.3272410791993039E-2</v>
      </c>
      <c r="C718" s="5">
        <v>1.1010750449020001E-2</v>
      </c>
      <c r="D718" s="5">
        <v>-8.149221296631648E-3</v>
      </c>
    </row>
    <row r="719" spans="1:4" x14ac:dyDescent="0.25">
      <c r="A719" s="5">
        <v>5.3361792956243548E-3</v>
      </c>
      <c r="B719" s="5">
        <v>8.1597595018252367E-3</v>
      </c>
      <c r="C719" s="5">
        <v>1.9001029866117403E-2</v>
      </c>
      <c r="D719" s="5">
        <v>-2.3735621690706976E-3</v>
      </c>
    </row>
    <row r="720" spans="1:4" x14ac:dyDescent="0.25">
      <c r="A720" s="5">
        <v>4.281670205237087E-2</v>
      </c>
      <c r="B720" s="5">
        <v>2.9392971246006372E-2</v>
      </c>
      <c r="C720" s="5">
        <v>9.2475617767446838E-3</v>
      </c>
      <c r="D720" s="5">
        <v>1.3909224011713128E-2</v>
      </c>
    </row>
    <row r="721" spans="1:4" x14ac:dyDescent="0.25">
      <c r="A721" s="5">
        <v>-1.0858500169664054E-2</v>
      </c>
      <c r="B721" s="5">
        <v>6.0004138216429581E-3</v>
      </c>
      <c r="C721" s="5">
        <v>1.9276987782896882E-3</v>
      </c>
      <c r="D721" s="5">
        <v>8.8447653429601925E-3</v>
      </c>
    </row>
    <row r="722" spans="1:4" x14ac:dyDescent="0.25">
      <c r="A722" s="5">
        <v>-1.9210977701543785E-2</v>
      </c>
      <c r="B722" s="5">
        <v>2.1390374331550888E-2</v>
      </c>
      <c r="C722" s="5">
        <v>2.8235176532320772E-3</v>
      </c>
      <c r="D722" s="5">
        <v>-1.789228842369317E-4</v>
      </c>
    </row>
    <row r="723" spans="1:4" x14ac:dyDescent="0.25">
      <c r="A723" s="5">
        <v>-3.147953830010497E-2</v>
      </c>
      <c r="B723" s="5">
        <v>-1.5505436971405606E-2</v>
      </c>
      <c r="C723" s="5">
        <v>8.2224547764986333E-4</v>
      </c>
      <c r="D723" s="5">
        <v>1.2705798138868962E-2</v>
      </c>
    </row>
    <row r="724" spans="1:4" x14ac:dyDescent="0.25">
      <c r="A724" s="5">
        <v>-3.6114120621162371E-3</v>
      </c>
      <c r="B724" s="5">
        <v>1.2067907547555823E-2</v>
      </c>
      <c r="C724" s="5">
        <v>-7.5435058630218821E-3</v>
      </c>
      <c r="D724" s="5">
        <v>-8.0933027036578897E-2</v>
      </c>
    </row>
    <row r="725" spans="1:4" x14ac:dyDescent="0.25">
      <c r="A725" s="5">
        <v>-1.2323305545487551E-2</v>
      </c>
      <c r="B725" s="5">
        <v>-3.637833468067897E-3</v>
      </c>
      <c r="C725" s="5">
        <v>1.5603050371262306E-2</v>
      </c>
      <c r="D725" s="5">
        <v>-4.4222264949048684E-3</v>
      </c>
    </row>
    <row r="726" spans="1:4" x14ac:dyDescent="0.25">
      <c r="A726" s="5">
        <v>-7.706422018348591E-3</v>
      </c>
      <c r="B726" s="5">
        <v>2.2515212981744526E-2</v>
      </c>
      <c r="C726" s="5">
        <v>-1.0126957466778386E-3</v>
      </c>
      <c r="D726" s="5">
        <v>-1.931247585940099E-4</v>
      </c>
    </row>
    <row r="727" spans="1:4" x14ac:dyDescent="0.25">
      <c r="A727" s="5">
        <v>4.7707100591716012E-2</v>
      </c>
      <c r="B727" s="5">
        <v>-9.3235469152945782E-3</v>
      </c>
      <c r="C727" s="5">
        <v>1.921127457040428E-2</v>
      </c>
      <c r="D727" s="5">
        <v>3.4769171334749771E-3</v>
      </c>
    </row>
    <row r="728" spans="1:4" x14ac:dyDescent="0.25">
      <c r="A728" s="5">
        <v>-4.9417578538651918E-3</v>
      </c>
      <c r="B728" s="5">
        <v>-2.4429315178213895E-2</v>
      </c>
      <c r="C728" s="5">
        <v>2.1833001795157347E-3</v>
      </c>
      <c r="D728" s="5">
        <v>-7.5072184793070207E-3</v>
      </c>
    </row>
    <row r="729" spans="1:4" x14ac:dyDescent="0.25">
      <c r="A729" s="5">
        <v>1.4898900319262109E-2</v>
      </c>
      <c r="B729" s="5">
        <v>-1.9293924466338264E-2</v>
      </c>
      <c r="C729" s="5">
        <v>1.403950426026368E-3</v>
      </c>
      <c r="D729" s="5">
        <v>8.9216446858029208E-3</v>
      </c>
    </row>
    <row r="730" spans="1:4" x14ac:dyDescent="0.25">
      <c r="A730" s="5">
        <v>-6.2915064662705245E-3</v>
      </c>
      <c r="B730" s="5">
        <v>9.6274591879448312E-3</v>
      </c>
      <c r="C730" s="5">
        <v>1.4744984288130869E-3</v>
      </c>
      <c r="D730" s="5">
        <v>4.6136101499423265E-3</v>
      </c>
    </row>
    <row r="731" spans="1:4" x14ac:dyDescent="0.25">
      <c r="A731" s="5">
        <v>2.81392894829402E-3</v>
      </c>
      <c r="B731" s="5">
        <v>-8.7064676616915859E-3</v>
      </c>
      <c r="C731" s="5">
        <v>7.5305930342013383E-3</v>
      </c>
      <c r="D731" s="5">
        <v>1.1863758132414803E-2</v>
      </c>
    </row>
    <row r="732" spans="1:4" x14ac:dyDescent="0.25">
      <c r="A732" s="5">
        <v>2.4552788495264766E-2</v>
      </c>
      <c r="B732" s="5">
        <v>6.6917607695524683E-3</v>
      </c>
      <c r="C732" s="5">
        <v>-2.6112162518266979E-3</v>
      </c>
      <c r="D732" s="5">
        <v>-1.6074130105900197E-2</v>
      </c>
    </row>
    <row r="733" spans="1:4" x14ac:dyDescent="0.25">
      <c r="A733" s="5">
        <v>1.369394043135852E-3</v>
      </c>
      <c r="B733" s="5">
        <v>-2.8458662235147481E-2</v>
      </c>
      <c r="C733" s="5">
        <v>4.3233895373973041E-3</v>
      </c>
      <c r="D733" s="5">
        <v>-2.4985585239285513E-3</v>
      </c>
    </row>
    <row r="734" spans="1:4" x14ac:dyDescent="0.25">
      <c r="A734" s="5">
        <v>2.3931623931623403E-3</v>
      </c>
      <c r="B734" s="5">
        <v>-2.1381227282446513E-4</v>
      </c>
      <c r="C734" s="5">
        <v>5.5005500550064923E-4</v>
      </c>
      <c r="D734" s="5">
        <v>-8.6705202312138407E-3</v>
      </c>
    </row>
    <row r="735" spans="1:4" x14ac:dyDescent="0.25">
      <c r="A735" s="5">
        <v>1.6030013642564844E-2</v>
      </c>
      <c r="B735" s="5">
        <v>-2.6732249786141971E-2</v>
      </c>
      <c r="C735" s="5">
        <v>-1.744866983770299E-3</v>
      </c>
      <c r="D735" s="5">
        <v>-3.8872691933911074E-4</v>
      </c>
    </row>
    <row r="736" spans="1:4" x14ac:dyDescent="0.25">
      <c r="A736" s="5">
        <v>4.8002685464921147E-2</v>
      </c>
      <c r="B736" s="5">
        <v>2.3291584267194132E-2</v>
      </c>
      <c r="C736" s="5">
        <v>9.8170673307151901E-4</v>
      </c>
      <c r="D736" s="5">
        <v>9.3330740812755941E-3</v>
      </c>
    </row>
    <row r="737" spans="1:4" x14ac:dyDescent="0.25">
      <c r="A737" s="5">
        <v>-6.4061499039080871E-4</v>
      </c>
      <c r="B737" s="5">
        <v>-2.2976164913034114E-2</v>
      </c>
      <c r="C737" s="5">
        <v>-6.4585575888054247E-4</v>
      </c>
      <c r="D737" s="5">
        <v>-1.0787902138316263E-2</v>
      </c>
    </row>
    <row r="738" spans="1:4" x14ac:dyDescent="0.25">
      <c r="A738" s="5">
        <v>3.8461538461538325E-3</v>
      </c>
      <c r="B738" s="5">
        <v>2.417582417582409E-2</v>
      </c>
      <c r="C738" s="5">
        <v>3.8776389487289453E-3</v>
      </c>
      <c r="D738" s="5">
        <v>-1.0321324245374908E-2</v>
      </c>
    </row>
    <row r="739" spans="1:4" x14ac:dyDescent="0.25">
      <c r="A739" s="5">
        <v>1.5644955300127661E-2</v>
      </c>
      <c r="B739" s="5">
        <v>1.9527896995708227E-2</v>
      </c>
      <c r="C739" s="5">
        <v>5.8655221745349539E-3</v>
      </c>
      <c r="D739" s="5">
        <v>-1.0428964974419475E-2</v>
      </c>
    </row>
    <row r="740" spans="1:4" x14ac:dyDescent="0.25">
      <c r="A740" s="5">
        <v>-2.4834957560515569E-2</v>
      </c>
      <c r="B740" s="5">
        <v>-1.8522416333403458E-2</v>
      </c>
      <c r="C740" s="5">
        <v>-5.0253638647892451E-3</v>
      </c>
      <c r="D740" s="5">
        <v>2.3861602704315921E-3</v>
      </c>
    </row>
    <row r="741" spans="1:4" x14ac:dyDescent="0.25">
      <c r="A741" s="5">
        <v>-1.740812379110257E-2</v>
      </c>
      <c r="B741" s="5">
        <v>2.2088784044606458E-2</v>
      </c>
      <c r="C741" s="5">
        <v>-3.0971553819025832E-4</v>
      </c>
      <c r="D741" s="5">
        <v>7.9349335449308001E-4</v>
      </c>
    </row>
    <row r="742" spans="1:4" x14ac:dyDescent="0.25">
      <c r="A742" s="5">
        <v>-1.9685039370078705E-3</v>
      </c>
      <c r="B742" s="5">
        <v>9.0222408728493075E-3</v>
      </c>
      <c r="C742" s="5">
        <v>-4.1705393103119714E-3</v>
      </c>
      <c r="D742" s="5">
        <v>1.7839444995044529E-2</v>
      </c>
    </row>
    <row r="743" spans="1:4" x14ac:dyDescent="0.25">
      <c r="A743" s="5">
        <v>-3.2873109796186517E-3</v>
      </c>
      <c r="B743" s="5">
        <v>5.4065294239966644E-3</v>
      </c>
      <c r="C743" s="5">
        <v>7.8255875173502965E-3</v>
      </c>
      <c r="D743" s="5">
        <v>-1.226874391431354E-2</v>
      </c>
    </row>
    <row r="744" spans="1:4" x14ac:dyDescent="0.25">
      <c r="A744" s="5">
        <v>-2.1108179419525031E-2</v>
      </c>
      <c r="B744" s="5">
        <v>1.1168562564632945E-2</v>
      </c>
      <c r="C744" s="5">
        <v>4.2504689763256387E-3</v>
      </c>
      <c r="D744" s="5">
        <v>3.7460567823344171E-3</v>
      </c>
    </row>
    <row r="745" spans="1:4" x14ac:dyDescent="0.25">
      <c r="A745" s="5">
        <v>-4.3800539083558299E-3</v>
      </c>
      <c r="B745" s="5">
        <v>2.4340355901002253E-2</v>
      </c>
      <c r="C745" s="5">
        <v>3.877801948358961E-3</v>
      </c>
      <c r="D745" s="5">
        <v>1.4731879787860835E-2</v>
      </c>
    </row>
    <row r="746" spans="1:4" x14ac:dyDescent="0.25">
      <c r="A746" s="5">
        <v>-2.3350253807106647E-2</v>
      </c>
      <c r="B746" s="5">
        <v>-9.5846645367412275E-3</v>
      </c>
      <c r="C746" s="5">
        <v>4.9698511400038115E-3</v>
      </c>
      <c r="D746" s="5">
        <v>3.4843205574912606E-3</v>
      </c>
    </row>
    <row r="747" spans="1:4" x14ac:dyDescent="0.25">
      <c r="A747" s="5">
        <v>6.3756063756063686E-2</v>
      </c>
      <c r="B747" s="5">
        <v>-3.0040322580645151E-2</v>
      </c>
      <c r="C747" s="5">
        <v>1.3617081116553686E-2</v>
      </c>
      <c r="D747" s="5">
        <v>-1.157407407407407E-2</v>
      </c>
    </row>
    <row r="748" spans="1:4" x14ac:dyDescent="0.25">
      <c r="A748" s="5">
        <v>1.9869706840390799E-2</v>
      </c>
      <c r="B748" s="5">
        <v>1.8291415506131781E-2</v>
      </c>
      <c r="C748" s="5">
        <v>2.9365519792823314E-3</v>
      </c>
      <c r="D748" s="5">
        <v>7.0257611241217877E-3</v>
      </c>
    </row>
    <row r="749" spans="1:4" x14ac:dyDescent="0.25">
      <c r="A749" s="5">
        <v>-1.1497923985946956E-2</v>
      </c>
      <c r="B749" s="5">
        <v>-3.2659726474790762E-3</v>
      </c>
      <c r="C749" s="5">
        <v>-1.521613832852986E-3</v>
      </c>
      <c r="D749" s="5">
        <v>1.2015503875969058E-2</v>
      </c>
    </row>
    <row r="750" spans="1:4" x14ac:dyDescent="0.25">
      <c r="A750" s="5">
        <v>-7.1082390953149943E-3</v>
      </c>
      <c r="B750" s="5">
        <v>9.2156461191890138E-3</v>
      </c>
      <c r="C750" s="5">
        <v>5.6570227897203562E-3</v>
      </c>
      <c r="D750" s="5">
        <v>-1.5319800842589215E-3</v>
      </c>
    </row>
    <row r="751" spans="1:4" x14ac:dyDescent="0.25">
      <c r="A751" s="5">
        <v>2.6684022128213414E-2</v>
      </c>
      <c r="B751" s="5">
        <v>2.8409090909091717E-3</v>
      </c>
      <c r="C751" s="5">
        <v>6.084400973504156E-3</v>
      </c>
      <c r="D751" s="5">
        <v>9.3977752205600673E-3</v>
      </c>
    </row>
    <row r="752" spans="1:4" x14ac:dyDescent="0.25">
      <c r="A752" s="5">
        <v>-2.4405705229794017E-2</v>
      </c>
      <c r="B752" s="5">
        <v>2.0234722784298054E-3</v>
      </c>
      <c r="C752" s="5">
        <v>-1.8485132020356509E-2</v>
      </c>
      <c r="D752" s="5">
        <v>-2.0900627018810569E-3</v>
      </c>
    </row>
    <row r="753" spans="1:4" x14ac:dyDescent="0.25">
      <c r="A753" s="5">
        <v>1.8518518518518601E-2</v>
      </c>
      <c r="B753" s="5">
        <v>0</v>
      </c>
      <c r="C753" s="5">
        <v>9.7421469924898751E-3</v>
      </c>
      <c r="D753" s="5">
        <v>5.7121096725065712E-4</v>
      </c>
    </row>
    <row r="754" spans="1:4" x14ac:dyDescent="0.25">
      <c r="A754" s="5">
        <v>6.698564593301537E-3</v>
      </c>
      <c r="B754" s="5">
        <v>-2.726171243941844E-2</v>
      </c>
      <c r="C754" s="5">
        <v>2.3256884959013124E-3</v>
      </c>
      <c r="D754" s="5">
        <v>1.0466222645099998E-2</v>
      </c>
    </row>
    <row r="755" spans="1:4" x14ac:dyDescent="0.25">
      <c r="A755" s="5">
        <v>3.4854245880862056E-3</v>
      </c>
      <c r="B755" s="5">
        <v>-1.2455885405854294E-2</v>
      </c>
      <c r="C755" s="5">
        <v>4.1581474419352116E-3</v>
      </c>
      <c r="D755" s="5">
        <v>0</v>
      </c>
    </row>
    <row r="756" spans="1:4" x14ac:dyDescent="0.25">
      <c r="A756" s="5">
        <v>9.7884433217556577E-3</v>
      </c>
      <c r="B756" s="5">
        <v>9.0393104898045529E-3</v>
      </c>
      <c r="C756" s="5">
        <v>1.8302447952414092E-3</v>
      </c>
      <c r="D756" s="5">
        <v>-9.6045197740113331E-3</v>
      </c>
    </row>
    <row r="757" spans="1:4" x14ac:dyDescent="0.25">
      <c r="A757" s="5">
        <v>-2.5328330206379035E-2</v>
      </c>
      <c r="B757" s="5">
        <v>2.2916666666666696E-2</v>
      </c>
      <c r="C757" s="5">
        <v>1.5985384791039614E-4</v>
      </c>
      <c r="D757" s="5">
        <v>-6.6552576535463537E-3</v>
      </c>
    </row>
    <row r="758" spans="1:4" x14ac:dyDescent="0.25">
      <c r="A758" s="5">
        <v>-5.1331408405518308E-3</v>
      </c>
      <c r="B758" s="5">
        <v>6.4154786150712795E-2</v>
      </c>
      <c r="C758" s="5">
        <v>-2.6714158504007601E-3</v>
      </c>
      <c r="D758" s="5">
        <v>9.76263399693722E-3</v>
      </c>
    </row>
    <row r="759" spans="1:4" x14ac:dyDescent="0.25">
      <c r="A759" s="5">
        <v>-1.4511447920025788E-2</v>
      </c>
      <c r="B759" s="5">
        <v>1.7033492822966512E-2</v>
      </c>
      <c r="C759" s="5">
        <v>-6.3873626373626147E-3</v>
      </c>
      <c r="D759" s="5">
        <v>6.6350710900473509E-3</v>
      </c>
    </row>
    <row r="760" spans="1:4" x14ac:dyDescent="0.25">
      <c r="A760" s="5">
        <v>-2.6178010471204161E-2</v>
      </c>
      <c r="B760" s="5">
        <v>2.2770041400075325E-2</v>
      </c>
      <c r="C760" s="5">
        <v>-7.4191838897721407E-3</v>
      </c>
      <c r="D760" s="5">
        <v>1.2429378531073398E-2</v>
      </c>
    </row>
    <row r="761" spans="1:4" x14ac:dyDescent="0.25">
      <c r="A761" s="5">
        <v>3.3602150537626052E-4</v>
      </c>
      <c r="B761" s="5">
        <v>8.6476540938362767E-3</v>
      </c>
      <c r="C761" s="5">
        <v>-3.1569906450938934E-3</v>
      </c>
      <c r="D761" s="5">
        <v>-1.1160714285713969E-3</v>
      </c>
    </row>
    <row r="762" spans="1:4" x14ac:dyDescent="0.25">
      <c r="A762" s="5">
        <v>0</v>
      </c>
      <c r="B762" s="5">
        <v>-2.0065669463699143E-3</v>
      </c>
      <c r="C762" s="5">
        <v>1.280767529050042E-3</v>
      </c>
      <c r="D762" s="5">
        <v>1.3035381750465813E-3</v>
      </c>
    </row>
    <row r="763" spans="1:4" x14ac:dyDescent="0.25">
      <c r="A763" s="5">
        <v>-2.3513604299630897E-3</v>
      </c>
      <c r="B763" s="5">
        <v>3.0524584171083946E-2</v>
      </c>
      <c r="C763" s="5">
        <v>1.4302990836783103E-2</v>
      </c>
      <c r="D763" s="5">
        <v>3.1616142830575011E-3</v>
      </c>
    </row>
    <row r="764" spans="1:4" x14ac:dyDescent="0.25">
      <c r="A764" s="5">
        <v>-1.7845117845117886E-2</v>
      </c>
      <c r="B764" s="5">
        <v>-5.8531394111387414E-3</v>
      </c>
      <c r="C764" s="5">
        <v>-2.4304679797307882E-3</v>
      </c>
      <c r="D764" s="5">
        <v>-4.6347793845012975E-3</v>
      </c>
    </row>
    <row r="765" spans="1:4" x14ac:dyDescent="0.25">
      <c r="A765" s="5">
        <v>-2.056907781967765E-3</v>
      </c>
      <c r="B765" s="5">
        <v>1.8911685994647653E-2</v>
      </c>
      <c r="C765" s="5">
        <v>6.5966396212104872E-3</v>
      </c>
      <c r="D765" s="5">
        <v>1.3410318495064244E-2</v>
      </c>
    </row>
    <row r="766" spans="1:4" x14ac:dyDescent="0.25">
      <c r="A766" s="5">
        <v>-7.5575403641360284E-3</v>
      </c>
      <c r="B766" s="5">
        <v>4.1673962528453901E-2</v>
      </c>
      <c r="C766" s="5">
        <v>-3.4251267296891985E-4</v>
      </c>
      <c r="D766" s="5">
        <v>-5.1461128469031392E-3</v>
      </c>
    </row>
    <row r="767" spans="1:4" x14ac:dyDescent="0.25">
      <c r="A767" s="5">
        <v>2.8037383177569986E-2</v>
      </c>
      <c r="B767" s="5">
        <v>2.6895276517062694E-3</v>
      </c>
      <c r="C767" s="5">
        <v>4.5684003746093715E-4</v>
      </c>
      <c r="D767" s="5">
        <v>0</v>
      </c>
    </row>
    <row r="768" spans="1:4" x14ac:dyDescent="0.25">
      <c r="A768" s="5">
        <v>-4.4107744107744096E-2</v>
      </c>
      <c r="B768" s="5">
        <v>3.6881810561608663E-3</v>
      </c>
      <c r="C768" s="5">
        <v>-3.4019041530628513E-3</v>
      </c>
      <c r="D768" s="5">
        <v>2.5863661555514117E-3</v>
      </c>
    </row>
    <row r="769" spans="1:4" x14ac:dyDescent="0.25">
      <c r="A769" s="5">
        <v>-3.0996829869672449E-2</v>
      </c>
      <c r="B769" s="5">
        <v>2.4887255720728252E-2</v>
      </c>
      <c r="C769" s="5">
        <v>-5.5670103092783085E-3</v>
      </c>
      <c r="D769" s="5">
        <v>-1.4188317670904782E-2</v>
      </c>
    </row>
    <row r="770" spans="1:4" x14ac:dyDescent="0.25">
      <c r="A770" s="5">
        <v>2.90803344238455E-3</v>
      </c>
      <c r="B770" s="5">
        <v>4.237288135593209E-3</v>
      </c>
      <c r="C770" s="5">
        <v>8.8925749303108148E-3</v>
      </c>
      <c r="D770" s="5">
        <v>1.4579439252336401E-2</v>
      </c>
    </row>
    <row r="771" spans="1:4" x14ac:dyDescent="0.25">
      <c r="A771" s="5">
        <v>3.6245016310256783E-3</v>
      </c>
      <c r="B771" s="5">
        <v>-9.5748133722817208E-3</v>
      </c>
      <c r="C771" s="5">
        <v>1.2239398990706363E-2</v>
      </c>
      <c r="D771" s="5">
        <v>8.8430361090641174E-3</v>
      </c>
    </row>
    <row r="772" spans="1:4" x14ac:dyDescent="0.25">
      <c r="A772" s="5">
        <v>-3.25027085590468E-3</v>
      </c>
      <c r="B772" s="5">
        <v>2.3594953301654842E-2</v>
      </c>
      <c r="C772" s="5">
        <v>2.278418191251852E-3</v>
      </c>
      <c r="D772" s="5">
        <v>4.565376186997705E-3</v>
      </c>
    </row>
    <row r="773" spans="1:4" x14ac:dyDescent="0.25">
      <c r="A773" s="5">
        <v>2.2826086956521774E-2</v>
      </c>
      <c r="B773" s="5">
        <v>4.8023051064511879E-3</v>
      </c>
      <c r="C773" s="5">
        <v>2.9709655638081589E-3</v>
      </c>
      <c r="D773" s="5">
        <v>3.4539174695509267E-3</v>
      </c>
    </row>
    <row r="774" spans="1:4" x14ac:dyDescent="0.25">
      <c r="A774" s="5">
        <v>-1.8774353524619203E-2</v>
      </c>
      <c r="B774" s="5">
        <v>-1.9754659869364311E-2</v>
      </c>
      <c r="C774" s="5">
        <v>8.3030384632643006E-4</v>
      </c>
      <c r="D774" s="5">
        <v>-2.1739130434782483E-3</v>
      </c>
    </row>
    <row r="775" spans="1:4" x14ac:dyDescent="0.25">
      <c r="A775" s="5">
        <v>1.9855595667870096E-2</v>
      </c>
      <c r="B775" s="5">
        <v>2.4378352023403327E-2</v>
      </c>
      <c r="C775" s="5">
        <v>5.6279288773291025E-3</v>
      </c>
      <c r="D775" s="5">
        <v>1.8518518518518601E-2</v>
      </c>
    </row>
    <row r="776" spans="1:4" x14ac:dyDescent="0.25">
      <c r="A776" s="5">
        <v>-6.3716814159292534E-3</v>
      </c>
      <c r="B776" s="5">
        <v>4.9658892590829673E-2</v>
      </c>
      <c r="C776" s="5">
        <v>-6.0200668896326359E-4</v>
      </c>
      <c r="D776" s="5">
        <v>7.4866310160428551E-3</v>
      </c>
    </row>
    <row r="777" spans="1:4" x14ac:dyDescent="0.25">
      <c r="A777" s="5">
        <v>1.033131457071601E-2</v>
      </c>
      <c r="B777" s="5">
        <v>4.7914147521160855E-2</v>
      </c>
      <c r="C777" s="5">
        <v>7.2730517814514339E-3</v>
      </c>
      <c r="D777" s="5">
        <v>-5.3078556263269627E-3</v>
      </c>
    </row>
    <row r="778" spans="1:4" x14ac:dyDescent="0.25">
      <c r="A778" s="5">
        <v>-7.4047954866008903E-3</v>
      </c>
      <c r="B778" s="5">
        <v>-1.6010385114669012E-2</v>
      </c>
      <c r="C778" s="5">
        <v>-7.0876431371680315E-4</v>
      </c>
      <c r="D778" s="5">
        <v>6.7591604411241235E-3</v>
      </c>
    </row>
    <row r="779" spans="1:4" x14ac:dyDescent="0.25">
      <c r="A779" s="5">
        <v>-7.4600355239786698E-3</v>
      </c>
      <c r="B779" s="5">
        <v>2.7557900908824484E-2</v>
      </c>
      <c r="C779" s="5">
        <v>-1.6290976793669754E-2</v>
      </c>
      <c r="D779" s="5">
        <v>-2.4734982332155209E-3</v>
      </c>
    </row>
    <row r="780" spans="1:4" x14ac:dyDescent="0.25">
      <c r="A780" s="5">
        <v>3.9012168933428848E-2</v>
      </c>
      <c r="B780" s="5">
        <v>-6.5620542082739375E-3</v>
      </c>
      <c r="C780" s="5">
        <v>1.3158487675183572E-2</v>
      </c>
      <c r="D780" s="5">
        <v>0</v>
      </c>
    </row>
    <row r="781" spans="1:4" x14ac:dyDescent="0.25">
      <c r="A781" s="5">
        <v>-3.4791594901825706E-2</v>
      </c>
      <c r="B781" s="5">
        <v>3.575531303848356E-2</v>
      </c>
      <c r="C781" s="5">
        <v>1.0274429569007593E-2</v>
      </c>
      <c r="D781" s="5">
        <v>-5.3134962805523323E-4</v>
      </c>
    </row>
    <row r="782" spans="1:4" x14ac:dyDescent="0.25">
      <c r="A782" s="5">
        <v>-2.3554603854389677E-2</v>
      </c>
      <c r="B782" s="5">
        <v>1.6636628309996127E-3</v>
      </c>
      <c r="C782" s="5">
        <v>-3.6541340142642875E-3</v>
      </c>
      <c r="D782" s="5">
        <v>6.0251639199007112E-3</v>
      </c>
    </row>
    <row r="783" spans="1:4" x14ac:dyDescent="0.25">
      <c r="A783" s="5">
        <v>1.3157894736842035E-2</v>
      </c>
      <c r="B783" s="5">
        <v>-1.6608996539791976E-3</v>
      </c>
      <c r="C783" s="5">
        <v>3.1151959701294363E-3</v>
      </c>
      <c r="D783" s="5">
        <v>-6.8698256121191292E-3</v>
      </c>
    </row>
    <row r="784" spans="1:4" x14ac:dyDescent="0.25">
      <c r="A784" s="5">
        <v>-9.3795093795093765E-3</v>
      </c>
      <c r="B784" s="5">
        <v>2.4539026757243843E-2</v>
      </c>
      <c r="C784" s="5">
        <v>8.2153161685352138E-3</v>
      </c>
      <c r="D784" s="5">
        <v>-3.1926214969847377E-3</v>
      </c>
    </row>
    <row r="785" spans="1:4" x14ac:dyDescent="0.25">
      <c r="A785" s="5">
        <v>-5.8266569555717185E-3</v>
      </c>
      <c r="B785" s="5">
        <v>-1.6779431664411315E-2</v>
      </c>
      <c r="C785" s="5">
        <v>6.7721076546667369E-4</v>
      </c>
      <c r="D785" s="5">
        <v>4.092526690391507E-3</v>
      </c>
    </row>
    <row r="786" spans="1:4" x14ac:dyDescent="0.25">
      <c r="A786" s="5">
        <v>-1.2087912087912045E-2</v>
      </c>
      <c r="B786" s="5">
        <v>-6.8813652628685329E-4</v>
      </c>
      <c r="C786" s="5">
        <v>5.6759883860544313E-3</v>
      </c>
      <c r="D786" s="5">
        <v>6.3795853269537073E-3</v>
      </c>
    </row>
    <row r="787" spans="1:4" x14ac:dyDescent="0.25">
      <c r="A787" s="5">
        <v>1.186503522432325E-2</v>
      </c>
      <c r="B787" s="5">
        <v>-4.3520176284258416E-2</v>
      </c>
      <c r="C787" s="5">
        <v>-4.5585777237500125E-4</v>
      </c>
      <c r="D787" s="5">
        <v>3.2223983095615472E-2</v>
      </c>
    </row>
    <row r="788" spans="1:4" x14ac:dyDescent="0.25">
      <c r="A788" s="5">
        <v>-5.1300842799560264E-2</v>
      </c>
      <c r="B788" s="5">
        <v>-2.8509719222462149E-2</v>
      </c>
      <c r="C788" s="5">
        <v>-1.4094601051122813E-2</v>
      </c>
      <c r="D788" s="5">
        <v>-1.2282497441146401E-2</v>
      </c>
    </row>
    <row r="789" spans="1:4" x14ac:dyDescent="0.25">
      <c r="A789" s="5">
        <v>4.6349942062573479E-3</v>
      </c>
      <c r="B789" s="5">
        <v>0.16407292129835493</v>
      </c>
      <c r="C789" s="5">
        <v>9.5160473159019432E-3</v>
      </c>
      <c r="D789" s="5">
        <v>9.8445595854921297E-3</v>
      </c>
    </row>
    <row r="790" spans="1:4" x14ac:dyDescent="0.25">
      <c r="A790" s="5">
        <v>2.9219530949634809E-2</v>
      </c>
      <c r="B790" s="5">
        <v>3.5650623885918886E-3</v>
      </c>
      <c r="C790" s="5">
        <v>6.7642758951755866E-3</v>
      </c>
      <c r="D790" s="5">
        <v>8.5513938772030507E-4</v>
      </c>
    </row>
    <row r="791" spans="1:4" x14ac:dyDescent="0.25">
      <c r="A791" s="5">
        <v>3.3619723571161053E-3</v>
      </c>
      <c r="B791" s="5">
        <v>3.4255265161127202E-3</v>
      </c>
      <c r="C791" s="5">
        <v>-5.1149786514662621E-3</v>
      </c>
      <c r="D791" s="5">
        <v>1.8455228981544725E-2</v>
      </c>
    </row>
    <row r="792" spans="1:4" x14ac:dyDescent="0.25">
      <c r="A792" s="5">
        <v>4.8399106478034248E-3</v>
      </c>
      <c r="B792" s="5">
        <v>-4.931091161967327E-3</v>
      </c>
      <c r="C792" s="5">
        <v>-5.4898372655382E-3</v>
      </c>
      <c r="D792" s="5">
        <v>-1.677852348993536E-4</v>
      </c>
    </row>
    <row r="793" spans="1:4" x14ac:dyDescent="0.25">
      <c r="A793" s="5">
        <v>-6.298629121897048E-3</v>
      </c>
      <c r="B793" s="5">
        <v>-1.3214739517153795E-2</v>
      </c>
      <c r="C793" s="5">
        <v>1.0076449584894842E-3</v>
      </c>
      <c r="D793" s="5">
        <v>5.0344017452585987E-4</v>
      </c>
    </row>
    <row r="794" spans="1:4" x14ac:dyDescent="0.25">
      <c r="A794" s="5">
        <v>-2.4608501118568271E-2</v>
      </c>
      <c r="B794" s="5">
        <v>1.8671130569147598E-2</v>
      </c>
      <c r="C794" s="5">
        <v>2.1007943628684522E-2</v>
      </c>
      <c r="D794" s="5">
        <v>-1.6940623951694045E-2</v>
      </c>
    </row>
    <row r="795" spans="1:4" x14ac:dyDescent="0.25">
      <c r="A795" s="5">
        <v>1.911314984709489E-2</v>
      </c>
      <c r="B795" s="5">
        <v>4.0070787511060635E-2</v>
      </c>
      <c r="C795" s="5">
        <v>4.5009323359845865E-4</v>
      </c>
      <c r="D795" s="5">
        <v>2.5592902235114234E-3</v>
      </c>
    </row>
    <row r="796" spans="1:4" x14ac:dyDescent="0.25">
      <c r="A796" s="5">
        <v>-1.5378844711177786E-2</v>
      </c>
      <c r="B796" s="5">
        <v>3.5974720466699139E-2</v>
      </c>
      <c r="C796" s="5">
        <v>-3.6633960323921855E-3</v>
      </c>
      <c r="D796" s="5">
        <v>9.1899251191287501E-3</v>
      </c>
    </row>
    <row r="797" spans="1:4" x14ac:dyDescent="0.25">
      <c r="A797" s="5">
        <v>-8.3809523809523778E-3</v>
      </c>
      <c r="B797" s="5">
        <v>8.4467386203659345E-3</v>
      </c>
      <c r="C797" s="5">
        <v>1.8491839938072907E-3</v>
      </c>
      <c r="D797" s="5">
        <v>1.2478920741989974E-2</v>
      </c>
    </row>
    <row r="798" spans="1:4" x14ac:dyDescent="0.25">
      <c r="A798" s="5">
        <v>-9.6043027276220272E-3</v>
      </c>
      <c r="B798" s="5">
        <v>3.1875290832945602E-2</v>
      </c>
      <c r="C798" s="5">
        <v>-1.5452965037666688E-3</v>
      </c>
      <c r="D798" s="5">
        <v>8.8274483677548421E-3</v>
      </c>
    </row>
    <row r="799" spans="1:4" x14ac:dyDescent="0.25">
      <c r="A799" s="5">
        <v>2.2498060512024853E-2</v>
      </c>
      <c r="B799" s="5">
        <v>4.4757609921082242E-2</v>
      </c>
      <c r="C799" s="5">
        <v>3.697255003116906E-3</v>
      </c>
      <c r="D799" s="5">
        <v>-3.4670629024269317E-3</v>
      </c>
    </row>
    <row r="800" spans="1:4" x14ac:dyDescent="0.25">
      <c r="A800" s="5">
        <v>3.679817905918048E-2</v>
      </c>
      <c r="B800" s="5">
        <v>-5.5465630732707494E-2</v>
      </c>
      <c r="C800" s="5">
        <v>9.637418885057647E-3</v>
      </c>
      <c r="D800" s="5">
        <v>-3.9761431411531323E-3</v>
      </c>
    </row>
    <row r="801" spans="1:4" x14ac:dyDescent="0.25">
      <c r="A801" s="5">
        <v>4.3175997072813832E-2</v>
      </c>
      <c r="B801" s="5">
        <v>-2.0107391751399528E-2</v>
      </c>
      <c r="C801" s="5">
        <v>-1.187875188257026E-3</v>
      </c>
      <c r="D801" s="5">
        <v>8.9820359281436168E-3</v>
      </c>
    </row>
    <row r="802" spans="1:4" x14ac:dyDescent="0.25">
      <c r="A802" s="5">
        <v>5.2613118204138942E-3</v>
      </c>
      <c r="B802" s="5">
        <v>7.1586801912090436E-2</v>
      </c>
      <c r="C802" s="5">
        <v>-1.0023998131118983E-2</v>
      </c>
      <c r="D802" s="5">
        <v>1.2363996043521341E-2</v>
      </c>
    </row>
    <row r="803" spans="1:4" x14ac:dyDescent="0.25">
      <c r="A803" s="5">
        <v>1.7445917655268595E-2</v>
      </c>
      <c r="B803" s="5">
        <v>-1.1097813078011054E-2</v>
      </c>
      <c r="C803" s="5">
        <v>5.2987235868282578E-3</v>
      </c>
      <c r="D803" s="5">
        <v>-2.1169190685556005E-3</v>
      </c>
    </row>
    <row r="804" spans="1:4" x14ac:dyDescent="0.25">
      <c r="A804" s="5">
        <v>1.5432098765432167E-2</v>
      </c>
      <c r="B804" s="5">
        <v>-3.2456815931345528E-2</v>
      </c>
      <c r="C804" s="5">
        <v>9.9014126584440199E-3</v>
      </c>
      <c r="D804" s="5">
        <v>-4.2428198433420716E-3</v>
      </c>
    </row>
    <row r="805" spans="1:4" x14ac:dyDescent="0.25">
      <c r="A805" s="5">
        <v>1.0131712259371373E-3</v>
      </c>
      <c r="B805" s="5">
        <v>-1.1371389583807456E-3</v>
      </c>
      <c r="C805" s="5">
        <v>-6.0643198241980834E-3</v>
      </c>
      <c r="D805" s="5">
        <v>-5.5719436250409871E-3</v>
      </c>
    </row>
    <row r="806" spans="1:4" x14ac:dyDescent="0.25">
      <c r="A806" s="5">
        <v>1.6531713900134859E-2</v>
      </c>
      <c r="B806" s="5">
        <v>7.0582877959928236E-3</v>
      </c>
      <c r="C806" s="5">
        <v>-8.2909925806240459E-4</v>
      </c>
      <c r="D806" s="5">
        <v>2.9663810151614456E-3</v>
      </c>
    </row>
    <row r="807" spans="1:4" x14ac:dyDescent="0.25">
      <c r="A807" s="5">
        <v>-1.8254231662794607E-2</v>
      </c>
      <c r="B807" s="5">
        <v>1.0626271761247974E-2</v>
      </c>
      <c r="C807" s="5">
        <v>1.0702127659574456E-2</v>
      </c>
      <c r="D807" s="5">
        <v>1.6431153466966997E-4</v>
      </c>
    </row>
    <row r="808" spans="1:4" x14ac:dyDescent="0.25">
      <c r="A808" s="5">
        <v>2.4002704530087904E-2</v>
      </c>
      <c r="B808" s="5">
        <v>1.0850111856823164E-2</v>
      </c>
      <c r="C808" s="5">
        <v>-1.5156937456581865E-3</v>
      </c>
      <c r="D808" s="5">
        <v>6.242812551338961E-3</v>
      </c>
    </row>
    <row r="809" spans="1:4" x14ac:dyDescent="0.25">
      <c r="A809" s="5">
        <v>-1.3205678441729929E-2</v>
      </c>
      <c r="B809" s="5">
        <v>1.1729556268673225E-2</v>
      </c>
      <c r="C809" s="5">
        <v>-2.1926588096392585E-3</v>
      </c>
      <c r="D809" s="5">
        <v>3.2653061224490187E-3</v>
      </c>
    </row>
    <row r="810" spans="1:4" x14ac:dyDescent="0.25">
      <c r="A810" s="5">
        <v>0</v>
      </c>
      <c r="B810" s="5">
        <v>3.1280761238105637E-2</v>
      </c>
      <c r="C810" s="5">
        <v>-6.8882456103281919E-3</v>
      </c>
      <c r="D810" s="5">
        <v>-9.438567941415732E-3</v>
      </c>
    </row>
    <row r="811" spans="1:4" x14ac:dyDescent="0.25">
      <c r="A811" s="5">
        <v>-5.018400802944134E-3</v>
      </c>
      <c r="B811" s="5">
        <v>7.5299607593595219E-3</v>
      </c>
      <c r="C811" s="5">
        <v>6.2551860598709652E-3</v>
      </c>
      <c r="D811" s="5">
        <v>-4.928536224741209E-3</v>
      </c>
    </row>
    <row r="812" spans="1:4" x14ac:dyDescent="0.25">
      <c r="A812" s="5">
        <v>-2.2864828513786128E-2</v>
      </c>
      <c r="B812" s="5">
        <v>-2.5684210526315754E-2</v>
      </c>
      <c r="C812" s="5">
        <v>5.6031292948515166E-3</v>
      </c>
      <c r="D812" s="5">
        <v>-9.9058940069340906E-4</v>
      </c>
    </row>
    <row r="813" spans="1:4" x14ac:dyDescent="0.25">
      <c r="A813" s="5">
        <v>4.1293874741913372E-2</v>
      </c>
      <c r="B813" s="5">
        <v>-2.4956784788245479E-2</v>
      </c>
      <c r="C813" s="5">
        <v>8.7258200168207622E-3</v>
      </c>
      <c r="D813" s="5">
        <v>3.4705007436788282E-3</v>
      </c>
    </row>
    <row r="814" spans="1:4" x14ac:dyDescent="0.25">
      <c r="A814" s="5">
        <v>-9.914077990746839E-3</v>
      </c>
      <c r="B814" s="5">
        <v>1.2188365650969146E-3</v>
      </c>
      <c r="C814" s="5">
        <v>3.3350703491401568E-3</v>
      </c>
      <c r="D814" s="5">
        <v>-9.0579710144927938E-3</v>
      </c>
    </row>
    <row r="815" spans="1:4" x14ac:dyDescent="0.25">
      <c r="A815" s="5">
        <v>-1.2016021361815787E-2</v>
      </c>
      <c r="B815" s="5">
        <v>0</v>
      </c>
      <c r="C815" s="5">
        <v>-4.5081541497870026E-3</v>
      </c>
      <c r="D815" s="5">
        <v>-2.8253282366628163E-3</v>
      </c>
    </row>
    <row r="816" spans="1:4" x14ac:dyDescent="0.25">
      <c r="A816" s="5">
        <v>7.7702702702702187E-3</v>
      </c>
      <c r="B816" s="5">
        <v>-1.0070827799911419E-2</v>
      </c>
      <c r="C816" s="5">
        <v>-2.5877540798864285E-3</v>
      </c>
      <c r="D816" s="5">
        <v>-1.4000000000000012E-2</v>
      </c>
    </row>
    <row r="817" spans="1:4" x14ac:dyDescent="0.25">
      <c r="A817" s="5">
        <v>6.7046597385189699E-4</v>
      </c>
      <c r="B817" s="5">
        <v>-5.4779206260480162E-3</v>
      </c>
      <c r="C817" s="5">
        <v>-2.8036992091057256E-3</v>
      </c>
      <c r="D817" s="5">
        <v>4.563894523326617E-3</v>
      </c>
    </row>
    <row r="818" spans="1:4" x14ac:dyDescent="0.25">
      <c r="A818" s="5">
        <v>3.71859296482413E-2</v>
      </c>
      <c r="B818" s="5">
        <v>-3.4397482014388525E-2</v>
      </c>
      <c r="C818" s="5">
        <v>8.7284934955937921E-3</v>
      </c>
      <c r="D818" s="5">
        <v>1.1778563015312216E-3</v>
      </c>
    </row>
    <row r="819" spans="1:4" x14ac:dyDescent="0.25">
      <c r="A819" s="5">
        <v>2.1317829457364379E-2</v>
      </c>
      <c r="B819" s="5">
        <v>2.4563445867287648E-2</v>
      </c>
      <c r="C819" s="5">
        <v>-1.2480239620604738E-4</v>
      </c>
      <c r="D819" s="5">
        <v>5.8823529411764497E-3</v>
      </c>
    </row>
    <row r="820" spans="1:4" x14ac:dyDescent="0.25">
      <c r="A820" s="5">
        <v>1.2966476913345959E-2</v>
      </c>
      <c r="B820" s="5">
        <v>-9.9988637654812029E-3</v>
      </c>
      <c r="C820" s="5">
        <v>-1.310588724776407E-3</v>
      </c>
      <c r="D820" s="5">
        <v>-1.1695906432748204E-3</v>
      </c>
    </row>
    <row r="821" spans="1:4" x14ac:dyDescent="0.25">
      <c r="A821" s="5">
        <v>1.2800499531689047E-2</v>
      </c>
      <c r="B821" s="5">
        <v>-2.0429243658900531E-2</v>
      </c>
      <c r="C821" s="5">
        <v>-6.5407128127148439E-3</v>
      </c>
      <c r="D821" s="5">
        <v>1.6728002676469345E-4</v>
      </c>
    </row>
    <row r="822" spans="1:4" x14ac:dyDescent="0.25">
      <c r="A822" s="5">
        <v>2.1578298397040729E-2</v>
      </c>
      <c r="B822" s="5">
        <v>1.9800820152314103E-2</v>
      </c>
      <c r="C822" s="5">
        <v>9.0159981548665336E-4</v>
      </c>
      <c r="D822" s="5">
        <v>1.3881920053520735E-2</v>
      </c>
    </row>
    <row r="823" spans="1:4" x14ac:dyDescent="0.25">
      <c r="A823" s="5">
        <v>-1.0863005431502759E-2</v>
      </c>
      <c r="B823" s="5">
        <v>4.1130514705882248E-2</v>
      </c>
      <c r="C823" s="5">
        <v>-1.2317747611865215E-2</v>
      </c>
      <c r="D823" s="5">
        <v>-8.7429891125041514E-3</v>
      </c>
    </row>
    <row r="824" spans="1:4" x14ac:dyDescent="0.25">
      <c r="A824" s="5">
        <v>3.2336790726052556E-2</v>
      </c>
      <c r="B824" s="5">
        <v>-2.6815272566762305E-2</v>
      </c>
      <c r="C824" s="5">
        <v>1.062611351488929E-2</v>
      </c>
      <c r="D824" s="5">
        <v>8.3208520552502385E-4</v>
      </c>
    </row>
    <row r="825" spans="1:4" x14ac:dyDescent="0.25">
      <c r="A825" s="5">
        <v>-7.0921985815602939E-3</v>
      </c>
      <c r="B825" s="5">
        <v>-2.4832747477038231E-2</v>
      </c>
      <c r="C825" s="5">
        <v>3.9874918676163773E-4</v>
      </c>
      <c r="D825" s="5">
        <v>-3.4918523445294225E-3</v>
      </c>
    </row>
    <row r="826" spans="1:4" x14ac:dyDescent="0.25">
      <c r="A826" s="5">
        <v>1.7261904761904701E-2</v>
      </c>
      <c r="B826" s="5">
        <v>1.65116279069768E-2</v>
      </c>
      <c r="C826" s="5">
        <v>1.2377276160107087E-3</v>
      </c>
      <c r="D826" s="5">
        <v>-1.501752044051341E-3</v>
      </c>
    </row>
    <row r="827" spans="1:4" x14ac:dyDescent="0.25">
      <c r="A827" s="5">
        <v>-1.4628437682855489E-2</v>
      </c>
      <c r="B827" s="5">
        <v>-3.8663921299473825E-2</v>
      </c>
      <c r="C827" s="5">
        <v>-9.6800553146018098E-3</v>
      </c>
      <c r="D827" s="5">
        <v>-3.175133689839571E-3</v>
      </c>
    </row>
    <row r="828" spans="1:4" x14ac:dyDescent="0.25">
      <c r="A828" s="5">
        <v>2.2862232779097491E-2</v>
      </c>
      <c r="B828" s="5">
        <v>7.4964302712994257E-3</v>
      </c>
      <c r="C828" s="5">
        <v>7.2146408547550944E-3</v>
      </c>
      <c r="D828" s="5">
        <v>-6.5381391450125559E-3</v>
      </c>
    </row>
    <row r="829" spans="1:4" x14ac:dyDescent="0.25">
      <c r="A829" s="5">
        <v>-2.00290275761974E-2</v>
      </c>
      <c r="B829" s="5">
        <v>-0.10003543167591822</v>
      </c>
      <c r="C829" s="5">
        <v>-1.3632735369491278E-2</v>
      </c>
      <c r="D829" s="5">
        <v>4.5561930475868095E-3</v>
      </c>
    </row>
    <row r="830" spans="1:4" x14ac:dyDescent="0.25">
      <c r="A830" s="5">
        <v>-6.8127962085308136E-3</v>
      </c>
      <c r="B830" s="5">
        <v>4.3569553805774319E-2</v>
      </c>
      <c r="C830" s="5">
        <v>-1.2692463317503289E-2</v>
      </c>
      <c r="D830" s="5">
        <v>1.0246934318830947E-2</v>
      </c>
    </row>
    <row r="831" spans="1:4" x14ac:dyDescent="0.25">
      <c r="A831" s="5">
        <v>-1.4912019087384487E-2</v>
      </c>
      <c r="B831" s="5">
        <v>3.6468812877263668E-2</v>
      </c>
      <c r="C831" s="5">
        <v>-1.7902978796833224E-3</v>
      </c>
      <c r="D831" s="5">
        <v>-1.7459261722647113E-2</v>
      </c>
    </row>
    <row r="832" spans="1:4" x14ac:dyDescent="0.25">
      <c r="A832" s="5">
        <v>1.5743263699667054E-2</v>
      </c>
      <c r="B832" s="5">
        <v>-3.3244358165493759E-2</v>
      </c>
      <c r="C832" s="5">
        <v>-6.0287825748736035E-3</v>
      </c>
      <c r="D832" s="5">
        <v>1.3200203080047324E-2</v>
      </c>
    </row>
    <row r="833" spans="1:4" x14ac:dyDescent="0.25">
      <c r="A833" s="5">
        <v>5.9612518628913147E-3</v>
      </c>
      <c r="B833" s="5">
        <v>3.7023092369477872E-2</v>
      </c>
      <c r="C833" s="5">
        <v>-2.2826583186591476E-3</v>
      </c>
      <c r="D833" s="5">
        <v>5.6789711040587942E-3</v>
      </c>
    </row>
    <row r="834" spans="1:4" x14ac:dyDescent="0.25">
      <c r="A834" s="5">
        <v>9.4814814814814241E-3</v>
      </c>
      <c r="B834" s="5">
        <v>6.184194602444637E-2</v>
      </c>
      <c r="C834" s="5">
        <v>-8.3671068113478908E-3</v>
      </c>
      <c r="D834" s="5">
        <v>-8.3042683939549278E-4</v>
      </c>
    </row>
    <row r="835" spans="1:4" x14ac:dyDescent="0.25">
      <c r="A835" s="5">
        <v>-4.5201056648077498E-2</v>
      </c>
      <c r="B835" s="5">
        <v>2.2794620469568372E-4</v>
      </c>
      <c r="C835" s="5">
        <v>8.6794111184353984E-3</v>
      </c>
      <c r="D835" s="5">
        <v>1.3297872340425343E-3</v>
      </c>
    </row>
    <row r="836" spans="1:4" x14ac:dyDescent="0.25">
      <c r="A836" s="5">
        <v>1.5985244389794095E-2</v>
      </c>
      <c r="B836" s="5">
        <v>-1.5496809480401108E-2</v>
      </c>
      <c r="C836" s="5">
        <v>1.2613005119268106E-2</v>
      </c>
      <c r="D836" s="5">
        <v>-1.4774236387782191E-2</v>
      </c>
    </row>
    <row r="837" spans="1:4" x14ac:dyDescent="0.25">
      <c r="A837" s="5">
        <v>2.1180030257186289E-3</v>
      </c>
      <c r="B837" s="5">
        <v>-3.8888888888888862E-2</v>
      </c>
      <c r="C837" s="5">
        <v>-7.3143447207646428E-4</v>
      </c>
      <c r="D837" s="5">
        <v>-8.4245998315080062E-3</v>
      </c>
    </row>
    <row r="838" spans="1:4" x14ac:dyDescent="0.25">
      <c r="A838" s="5">
        <v>3.6533816425120769E-2</v>
      </c>
      <c r="B838" s="5">
        <v>3.3477842003853509E-2</v>
      </c>
      <c r="C838" s="5">
        <v>-4.1334768568352942E-3</v>
      </c>
      <c r="D838" s="5">
        <v>1.4613423959218386E-2</v>
      </c>
    </row>
    <row r="839" spans="1:4" x14ac:dyDescent="0.25">
      <c r="A839" s="5">
        <v>7.2822604136324465E-3</v>
      </c>
      <c r="B839" s="5">
        <v>3.4607317641575319E-2</v>
      </c>
      <c r="C839" s="5">
        <v>1.0009079510571173E-2</v>
      </c>
      <c r="D839" s="5">
        <v>1.8422374811588593E-3</v>
      </c>
    </row>
    <row r="840" spans="1:4" x14ac:dyDescent="0.25">
      <c r="A840" s="5">
        <v>5.494505494505475E-3</v>
      </c>
      <c r="B840" s="5">
        <v>3.772947403986926E-2</v>
      </c>
      <c r="C840" s="5">
        <v>3.4887951884592372E-3</v>
      </c>
      <c r="D840" s="5">
        <v>8.3584085590104884E-4</v>
      </c>
    </row>
    <row r="841" spans="1:4" x14ac:dyDescent="0.25">
      <c r="A841" s="5">
        <v>-4.7167098073051528E-2</v>
      </c>
      <c r="B841" s="5">
        <v>-1.7256349034078577E-2</v>
      </c>
      <c r="C841" s="5">
        <v>-1.5804965446634234E-2</v>
      </c>
      <c r="D841" s="5">
        <v>1.2527142141306236E-2</v>
      </c>
    </row>
    <row r="842" spans="1:4" x14ac:dyDescent="0.25">
      <c r="A842" s="5">
        <v>5.7349833987323517E-3</v>
      </c>
      <c r="B842" s="5">
        <v>-1.5461071231364087E-3</v>
      </c>
      <c r="C842" s="5">
        <v>-3.2507639295233925E-3</v>
      </c>
      <c r="D842" s="5">
        <v>-5.2787858792477937E-3</v>
      </c>
    </row>
    <row r="843" spans="1:4" x14ac:dyDescent="0.25">
      <c r="A843" s="5">
        <v>7.8031212484994672E-3</v>
      </c>
      <c r="B843" s="5">
        <v>-1.8360800796372034E-2</v>
      </c>
      <c r="C843" s="5">
        <v>9.3275063596633956E-3</v>
      </c>
      <c r="D843" s="5">
        <v>2.3217247097844229E-3</v>
      </c>
    </row>
    <row r="844" spans="1:4" x14ac:dyDescent="0.25">
      <c r="A844" s="5">
        <v>-4.1691483025610987E-3</v>
      </c>
      <c r="B844" s="5">
        <v>1.2732394366197219E-2</v>
      </c>
      <c r="C844" s="5">
        <v>1.2407910042652182E-2</v>
      </c>
      <c r="D844" s="5">
        <v>6.6181336863002649E-4</v>
      </c>
    </row>
    <row r="845" spans="1:4" x14ac:dyDescent="0.25">
      <c r="A845" s="5">
        <v>2.3026315789473673E-2</v>
      </c>
      <c r="B845" s="5">
        <v>5.7854917668000994E-3</v>
      </c>
      <c r="C845" s="5">
        <v>1.0085535554704483E-2</v>
      </c>
      <c r="D845" s="5">
        <v>-1.1574074074074403E-3</v>
      </c>
    </row>
    <row r="846" spans="1:4" x14ac:dyDescent="0.25">
      <c r="A846" s="5">
        <v>-1.1692487576732136E-3</v>
      </c>
      <c r="B846" s="5">
        <v>1.0619469026548645E-2</v>
      </c>
      <c r="C846" s="5">
        <v>1.4324233232221317E-3</v>
      </c>
      <c r="D846" s="5">
        <v>-9.1044529051481637E-3</v>
      </c>
    </row>
    <row r="847" spans="1:4" x14ac:dyDescent="0.25">
      <c r="A847" s="5">
        <v>-2.9265437518288806E-4</v>
      </c>
      <c r="B847" s="5">
        <v>3.5792469352013967E-2</v>
      </c>
      <c r="C847" s="5">
        <v>4.2069835927582844E-5</v>
      </c>
      <c r="D847" s="5">
        <v>-5.0116939525557402E-4</v>
      </c>
    </row>
    <row r="848" spans="1:4" x14ac:dyDescent="0.25">
      <c r="A848" s="5">
        <v>3.5128805620608938E-2</v>
      </c>
      <c r="B848" s="5">
        <v>-2.8532177956250848E-3</v>
      </c>
      <c r="C848" s="5">
        <v>5.7422910268813965E-3</v>
      </c>
      <c r="D848" s="5">
        <v>6.9864616413170655E-2</v>
      </c>
    </row>
    <row r="849" spans="1:4" x14ac:dyDescent="0.25">
      <c r="A849" s="5">
        <v>-3.1108597285067763E-3</v>
      </c>
      <c r="B849" s="5">
        <v>-1.9923696481560005E-2</v>
      </c>
      <c r="C849" s="5">
        <v>1.2339224092858814E-3</v>
      </c>
      <c r="D849" s="5">
        <v>9.998437744102473E-3</v>
      </c>
    </row>
    <row r="850" spans="1:4" x14ac:dyDescent="0.25">
      <c r="A850" s="5">
        <v>-8.5106382978723527E-3</v>
      </c>
      <c r="B850" s="5">
        <v>2.4870242214532823E-2</v>
      </c>
      <c r="C850" s="5">
        <v>6.266449429759291E-5</v>
      </c>
      <c r="D850" s="5">
        <v>-7.2699149265275098E-3</v>
      </c>
    </row>
    <row r="851" spans="1:4" x14ac:dyDescent="0.25">
      <c r="A851" s="5">
        <v>1.2875536480686733E-2</v>
      </c>
      <c r="B851" s="5">
        <v>6.4359569529437444E-3</v>
      </c>
      <c r="C851" s="5">
        <v>4.7413162896590144E-3</v>
      </c>
      <c r="D851" s="5">
        <v>1.5113742598940494E-2</v>
      </c>
    </row>
    <row r="852" spans="1:4" x14ac:dyDescent="0.25">
      <c r="A852" s="5">
        <v>1.4406779661017E-2</v>
      </c>
      <c r="B852" s="5">
        <v>-4.6126428346786597E-3</v>
      </c>
      <c r="C852" s="5">
        <v>1.2181939131880926E-2</v>
      </c>
      <c r="D852" s="5">
        <v>1.5349194167306734E-3</v>
      </c>
    </row>
    <row r="853" spans="1:4" x14ac:dyDescent="0.25">
      <c r="A853" s="5">
        <v>-6.9618490671122801E-3</v>
      </c>
      <c r="B853" s="5">
        <v>9.3206951026856277E-2</v>
      </c>
      <c r="C853" s="5">
        <v>-1.9100431300062004E-3</v>
      </c>
      <c r="D853" s="5">
        <v>-6.2835249042145769E-3</v>
      </c>
    </row>
    <row r="854" spans="1:4" x14ac:dyDescent="0.25">
      <c r="A854" s="5">
        <v>3.3931575995513219E-2</v>
      </c>
      <c r="B854" s="5">
        <v>2.5722543352601157E-2</v>
      </c>
      <c r="C854" s="5">
        <v>1.4815729366011166E-3</v>
      </c>
      <c r="D854" s="5">
        <v>8.3281924737816926E-3</v>
      </c>
    </row>
    <row r="855" spans="1:4" x14ac:dyDescent="0.25">
      <c r="A855" s="5">
        <v>1.0035259018172038E-2</v>
      </c>
      <c r="B855" s="5">
        <v>6.9784915938762015E-2</v>
      </c>
      <c r="C855" s="5">
        <v>9.8625408370822676E-4</v>
      </c>
      <c r="D855" s="5">
        <v>-5.2003670847353689E-3</v>
      </c>
    </row>
    <row r="856" spans="1:4" x14ac:dyDescent="0.25">
      <c r="A856" s="5">
        <v>-8.3243823845328135E-3</v>
      </c>
      <c r="B856" s="5">
        <v>8.0772607550483322E-3</v>
      </c>
      <c r="C856" s="5">
        <v>2.6889997331527304E-3</v>
      </c>
      <c r="D856" s="5">
        <v>-1.8450184501844769E-3</v>
      </c>
    </row>
    <row r="857" spans="1:4" x14ac:dyDescent="0.25">
      <c r="A857" s="5">
        <v>-4.007581911724889E-2</v>
      </c>
      <c r="B857" s="5">
        <v>-3.7624107298380061E-2</v>
      </c>
      <c r="C857" s="5">
        <v>-2.9069767441860517E-3</v>
      </c>
      <c r="D857" s="5">
        <v>-4.6210720887240875E-4</v>
      </c>
    </row>
    <row r="858" spans="1:4" x14ac:dyDescent="0.25">
      <c r="A858" s="5">
        <v>-1.9746121297602226E-2</v>
      </c>
      <c r="B858" s="5">
        <v>-7.8733031674208531E-3</v>
      </c>
      <c r="C858" s="5">
        <v>-7.4323491972241307E-3</v>
      </c>
      <c r="D858" s="5">
        <v>1.3407304669440512E-2</v>
      </c>
    </row>
    <row r="859" spans="1:4" x14ac:dyDescent="0.25">
      <c r="A859" s="5">
        <v>1.467625899280578E-2</v>
      </c>
      <c r="B859" s="5">
        <v>4.8982942625193759E-2</v>
      </c>
      <c r="C859" s="5">
        <v>6.8053946715207481E-3</v>
      </c>
      <c r="D859" s="5">
        <v>9.1240875912412811E-4</v>
      </c>
    </row>
    <row r="860" spans="1:4" x14ac:dyDescent="0.25">
      <c r="A860" s="5">
        <v>2.382302892796373E-2</v>
      </c>
      <c r="B860" s="5">
        <v>1.2521739130434861E-2</v>
      </c>
      <c r="C860" s="5">
        <v>8.012655887248421E-4</v>
      </c>
      <c r="D860" s="5">
        <v>1.185050136736554E-2</v>
      </c>
    </row>
    <row r="861" spans="1:4" x14ac:dyDescent="0.25">
      <c r="A861" s="5">
        <v>-2.5207756232687006E-2</v>
      </c>
      <c r="B861" s="5">
        <v>5.1528684300927496E-2</v>
      </c>
      <c r="C861" s="5">
        <v>-7.0413861060929506E-3</v>
      </c>
      <c r="D861" s="5">
        <v>7.3573573573573192E-3</v>
      </c>
    </row>
    <row r="862" spans="1:4" x14ac:dyDescent="0.25">
      <c r="A862" s="5">
        <v>1.0514350667803374E-2</v>
      </c>
      <c r="B862" s="5">
        <v>-1.1760862463247257E-2</v>
      </c>
      <c r="C862" s="5">
        <v>-6.7191796398520243E-3</v>
      </c>
      <c r="D862" s="5">
        <v>8.9432106126108302E-4</v>
      </c>
    </row>
    <row r="863" spans="1:4" x14ac:dyDescent="0.25">
      <c r="A863" s="5">
        <v>-7.3115860517435349E-3</v>
      </c>
      <c r="B863" s="5">
        <v>-9.0909090909085943E-4</v>
      </c>
      <c r="C863" s="5">
        <v>8.7003580051618901E-3</v>
      </c>
      <c r="D863" s="5">
        <v>-1.8912881608339593E-2</v>
      </c>
    </row>
    <row r="864" spans="1:4" x14ac:dyDescent="0.25">
      <c r="A864" s="5">
        <v>5.9490084985835967E-3</v>
      </c>
      <c r="B864" s="5">
        <v>7.4447845148482017E-3</v>
      </c>
      <c r="C864" s="5">
        <v>1.0936403780281712E-3</v>
      </c>
      <c r="D864" s="5">
        <v>1.6393442622950838E-2</v>
      </c>
    </row>
    <row r="865" spans="1:4" x14ac:dyDescent="0.25">
      <c r="A865" s="5">
        <v>-3.7454238242748517E-2</v>
      </c>
      <c r="B865" s="5">
        <v>-7.2255521799818867E-3</v>
      </c>
      <c r="C865" s="5">
        <v>1.2161187261672257E-3</v>
      </c>
      <c r="D865" s="5">
        <v>-3.4348864994026007E-3</v>
      </c>
    </row>
    <row r="866" spans="1:4" x14ac:dyDescent="0.25">
      <c r="A866" s="5">
        <v>1.7846693973083694E-2</v>
      </c>
      <c r="B866" s="5">
        <v>3.5480936233562188E-2</v>
      </c>
      <c r="C866" s="5">
        <v>1.19611314695105E-2</v>
      </c>
      <c r="D866" s="5">
        <v>-6.2940206803536736E-3</v>
      </c>
    </row>
    <row r="867" spans="1:4" x14ac:dyDescent="0.25">
      <c r="A867" s="5">
        <v>3.5067548146018979E-2</v>
      </c>
      <c r="B867" s="5">
        <v>3.522364217252405E-2</v>
      </c>
      <c r="C867" s="5">
        <v>-2.2378191435257211E-4</v>
      </c>
      <c r="D867" s="5">
        <v>5.8814658422561283E-3</v>
      </c>
    </row>
    <row r="868" spans="1:4" x14ac:dyDescent="0.25">
      <c r="A868" s="5">
        <v>-6.8592057761732828E-2</v>
      </c>
      <c r="B868" s="5">
        <v>1.7514080703649348E-2</v>
      </c>
      <c r="C868" s="5">
        <v>-1.3022952954582223E-3</v>
      </c>
      <c r="D868" s="5">
        <v>4.7976011994002032E-3</v>
      </c>
    </row>
    <row r="869" spans="1:4" x14ac:dyDescent="0.25">
      <c r="A869" s="5">
        <v>1.4609421586165849E-2</v>
      </c>
      <c r="B869" s="5">
        <v>-6.8243858052775552E-3</v>
      </c>
      <c r="C869" s="5">
        <v>3.2803585982070782E-3</v>
      </c>
      <c r="D869" s="5">
        <v>5.9683676514472594E-3</v>
      </c>
    </row>
    <row r="870" spans="1:4" x14ac:dyDescent="0.25">
      <c r="A870" s="5">
        <v>-8.2280340875697799E-3</v>
      </c>
      <c r="B870" s="5">
        <v>3.5119865628340241E-2</v>
      </c>
      <c r="C870" s="5">
        <v>2.2745273247903874E-3</v>
      </c>
      <c r="D870" s="5">
        <v>2.6698309107089369E-3</v>
      </c>
    </row>
    <row r="871" spans="1:4" x14ac:dyDescent="0.25">
      <c r="A871" s="5">
        <v>7.4074074074073071E-3</v>
      </c>
      <c r="B871" s="5">
        <v>-3.5403451836554023E-2</v>
      </c>
      <c r="C871" s="5">
        <v>8.3277612303203075E-3</v>
      </c>
      <c r="D871" s="5">
        <v>6.0650887573965306E-3</v>
      </c>
    </row>
    <row r="872" spans="1:4" x14ac:dyDescent="0.25">
      <c r="A872" s="5">
        <v>-2.5000000000000022E-2</v>
      </c>
      <c r="B872" s="5">
        <v>-3.2191466585104744E-2</v>
      </c>
      <c r="C872" s="5">
        <v>1.8889156820192099E-3</v>
      </c>
      <c r="D872" s="5">
        <v>-1.4703720041170376E-3</v>
      </c>
    </row>
    <row r="873" spans="1:4" x14ac:dyDescent="0.25">
      <c r="A873" s="5">
        <v>7.8431372549019329E-3</v>
      </c>
      <c r="B873" s="5">
        <v>-6.6840483526902084E-2</v>
      </c>
      <c r="C873" s="5">
        <v>8.022784708572317E-4</v>
      </c>
      <c r="D873" s="5">
        <v>1.4578118097481996E-2</v>
      </c>
    </row>
    <row r="874" spans="1:4" x14ac:dyDescent="0.25">
      <c r="A874" s="5">
        <v>-6.2855432505237729E-3</v>
      </c>
      <c r="B874" s="5">
        <v>6.7564135128270308E-2</v>
      </c>
      <c r="C874" s="5">
        <v>7.9361898272476417E-3</v>
      </c>
      <c r="D874" s="5">
        <v>-2.1480406386066742E-2</v>
      </c>
    </row>
    <row r="875" spans="1:4" x14ac:dyDescent="0.25">
      <c r="A875" s="5">
        <v>1.5060240963855387E-2</v>
      </c>
      <c r="B875" s="5">
        <v>2.458561345070942E-3</v>
      </c>
      <c r="C875" s="5">
        <v>2.6643337177396642E-3</v>
      </c>
      <c r="D875" s="5">
        <v>1.2904182735093528E-2</v>
      </c>
    </row>
    <row r="876" spans="1:4" x14ac:dyDescent="0.25">
      <c r="A876" s="5">
        <v>2.5222551928783421E-2</v>
      </c>
      <c r="B876" s="5">
        <v>-1.9066455696202578E-2</v>
      </c>
      <c r="C876" s="5">
        <v>-2.7762354247640175E-3</v>
      </c>
      <c r="D876" s="5">
        <v>-6.0038072924293306E-3</v>
      </c>
    </row>
    <row r="877" spans="1:4" x14ac:dyDescent="0.25">
      <c r="A877" s="5">
        <v>-1.6208393632416773E-2</v>
      </c>
      <c r="B877" s="5">
        <v>-3.6293249455601195E-3</v>
      </c>
      <c r="C877" s="5">
        <v>-2.1874005727012813E-3</v>
      </c>
      <c r="D877" s="5">
        <v>-2.504419563936322E-3</v>
      </c>
    </row>
    <row r="878" spans="1:4" x14ac:dyDescent="0.25">
      <c r="A878" s="5">
        <v>7.6493086201823157E-3</v>
      </c>
      <c r="B878" s="5">
        <v>6.1518536506395272E-3</v>
      </c>
      <c r="C878" s="5">
        <v>-2.6904220973335002E-3</v>
      </c>
      <c r="D878" s="5">
        <v>-3.3968394624132037E-3</v>
      </c>
    </row>
    <row r="879" spans="1:4" x14ac:dyDescent="0.25">
      <c r="A879" s="5">
        <v>-1.1970802919707979E-2</v>
      </c>
      <c r="B879" s="5">
        <v>-1.3113435237328996E-2</v>
      </c>
      <c r="C879" s="5">
        <v>4.1564254740922291E-3</v>
      </c>
      <c r="D879" s="5">
        <v>8.7433313574392102E-3</v>
      </c>
    </row>
    <row r="880" spans="1:4" x14ac:dyDescent="0.25">
      <c r="A880" s="5">
        <v>-5.9101654846338558E-4</v>
      </c>
      <c r="B880" s="5">
        <v>4.5732452922474964E-2</v>
      </c>
      <c r="C880" s="5">
        <v>1.1144056834688776E-3</v>
      </c>
      <c r="D880" s="5">
        <v>2.4974291170853924E-3</v>
      </c>
    </row>
    <row r="881" spans="1:4" x14ac:dyDescent="0.25">
      <c r="A881" s="5">
        <v>1.2123004139562354E-2</v>
      </c>
      <c r="B881" s="5">
        <v>-1.9098846273776116E-2</v>
      </c>
      <c r="C881" s="5">
        <v>1.5504800524777096E-3</v>
      </c>
      <c r="D881" s="5">
        <v>2.637749120750299E-2</v>
      </c>
    </row>
    <row r="882" spans="1:4" x14ac:dyDescent="0.25">
      <c r="A882" s="5">
        <v>-8.76424189307623E-3</v>
      </c>
      <c r="B882" s="5">
        <v>1.8834936024795468E-2</v>
      </c>
      <c r="C882" s="5">
        <v>-7.3831497469485363E-3</v>
      </c>
      <c r="D882" s="5">
        <v>-5.1399200456881955E-3</v>
      </c>
    </row>
    <row r="883" spans="1:4" x14ac:dyDescent="0.25">
      <c r="A883" s="5">
        <v>-1.1788977306218529E-3</v>
      </c>
      <c r="B883" s="5">
        <v>2.4804992199688014E-2</v>
      </c>
      <c r="C883" s="5">
        <v>2.2994021554396671E-3</v>
      </c>
      <c r="D883" s="5">
        <v>3.1572904707233285E-3</v>
      </c>
    </row>
    <row r="884" spans="1:4" x14ac:dyDescent="0.25">
      <c r="A884" s="5">
        <v>3.8359398052523197E-3</v>
      </c>
      <c r="B884" s="5">
        <v>2.6868625361546661E-2</v>
      </c>
      <c r="C884" s="5">
        <v>6.483402489626533E-3</v>
      </c>
      <c r="D884" s="5">
        <v>7.2961373390558748E-3</v>
      </c>
    </row>
    <row r="885" spans="1:4" x14ac:dyDescent="0.25">
      <c r="A885" s="5">
        <v>3.7037037037036979E-2</v>
      </c>
      <c r="B885" s="5">
        <v>-5.5666740790156433E-2</v>
      </c>
      <c r="C885" s="5">
        <v>4.5190573404951806E-3</v>
      </c>
      <c r="D885" s="5">
        <v>-8.6635421104956922E-3</v>
      </c>
    </row>
    <row r="886" spans="1:4" x14ac:dyDescent="0.25">
      <c r="A886" s="5">
        <v>2.8061224489795977E-2</v>
      </c>
      <c r="B886" s="5">
        <v>1.4442700156985788E-2</v>
      </c>
      <c r="C886" s="5">
        <v>5.9785718513840624E-3</v>
      </c>
      <c r="D886" s="5">
        <v>-8.022922636103158E-3</v>
      </c>
    </row>
    <row r="887" spans="1:4" x14ac:dyDescent="0.25">
      <c r="A887" s="5">
        <v>-4.6870692031982797E-3</v>
      </c>
      <c r="B887" s="5">
        <v>-6.1900340451872538E-3</v>
      </c>
      <c r="C887" s="5">
        <v>9.6108583084886234E-4</v>
      </c>
      <c r="D887" s="5">
        <v>5.3437319468514488E-3</v>
      </c>
    </row>
    <row r="888" spans="1:4" x14ac:dyDescent="0.25">
      <c r="A888" s="5">
        <v>2.7700831024923822E-4</v>
      </c>
      <c r="B888" s="5">
        <v>-1.619433198380571E-2</v>
      </c>
      <c r="C888" s="5">
        <v>1.0973291791585016E-3</v>
      </c>
      <c r="D888" s="5">
        <v>5.4589857779054896E-3</v>
      </c>
    </row>
    <row r="889" spans="1:4" x14ac:dyDescent="0.25">
      <c r="A889" s="5">
        <v>2.603157020216007E-2</v>
      </c>
      <c r="B889" s="5">
        <v>-6.6239316239316226E-2</v>
      </c>
      <c r="C889" s="5">
        <v>9.6302530877487857E-3</v>
      </c>
      <c r="D889" s="5">
        <v>1.4859265609372674E-2</v>
      </c>
    </row>
    <row r="890" spans="1:4" x14ac:dyDescent="0.25">
      <c r="A890" s="5">
        <v>2.8070175438596578E-2</v>
      </c>
      <c r="B890" s="5">
        <v>2.6273413001101753E-2</v>
      </c>
      <c r="C890" s="5">
        <v>-8.5690467420174166E-3</v>
      </c>
      <c r="D890" s="5">
        <v>-2.9564972546811674E-3</v>
      </c>
    </row>
    <row r="891" spans="1:4" x14ac:dyDescent="0.25">
      <c r="A891" s="5">
        <v>2.100288789708582E-3</v>
      </c>
      <c r="B891" s="5">
        <v>-2.609629201420427E-2</v>
      </c>
      <c r="C891" s="5">
        <v>6.1792369815600878E-3</v>
      </c>
      <c r="D891" s="5">
        <v>-9.8842134990118069E-4</v>
      </c>
    </row>
    <row r="892" spans="1:4" x14ac:dyDescent="0.25">
      <c r="A892" s="5">
        <v>-5.7636887608069065E-3</v>
      </c>
      <c r="B892" s="5">
        <v>4.7570592724497596E-2</v>
      </c>
      <c r="C892" s="5">
        <v>3.0317753376736256E-3</v>
      </c>
      <c r="D892" s="5">
        <v>-5.2296819787985838E-3</v>
      </c>
    </row>
    <row r="893" spans="1:4" x14ac:dyDescent="0.25">
      <c r="A893" s="5">
        <v>3.5046113306982818E-2</v>
      </c>
      <c r="B893" s="5">
        <v>-7.6898170632992979E-3</v>
      </c>
      <c r="C893" s="5">
        <v>5.6770843424851503E-3</v>
      </c>
      <c r="D893" s="5">
        <v>3.8363171355497716E-3</v>
      </c>
    </row>
    <row r="894" spans="1:4" x14ac:dyDescent="0.25">
      <c r="A894" s="5">
        <v>-2.1384928716904228E-2</v>
      </c>
      <c r="B894" s="5">
        <v>-6.8031650216167749E-2</v>
      </c>
      <c r="C894" s="5">
        <v>-1.3968094944512899E-2</v>
      </c>
      <c r="D894" s="5">
        <v>-7.0771408351022469E-4</v>
      </c>
    </row>
    <row r="895" spans="1:4" x14ac:dyDescent="0.25">
      <c r="A895" s="5">
        <v>-1.4828303850156099E-2</v>
      </c>
      <c r="B895" s="5">
        <v>-1.7242888402625778E-2</v>
      </c>
      <c r="C895" s="5">
        <v>-7.5226166982551579E-3</v>
      </c>
      <c r="D895" s="5">
        <v>-8.2152974504249299E-3</v>
      </c>
    </row>
    <row r="896" spans="1:4" x14ac:dyDescent="0.25">
      <c r="A896" s="5">
        <v>-1.2674940586215988E-2</v>
      </c>
      <c r="B896" s="5">
        <v>6.9469184182400223E-3</v>
      </c>
      <c r="C896" s="5">
        <v>-6.6740166161357584E-3</v>
      </c>
      <c r="D896" s="5">
        <v>-3.4275921165380918E-3</v>
      </c>
    </row>
    <row r="897" spans="1:4" x14ac:dyDescent="0.25">
      <c r="A897" s="5">
        <v>1.6047071409468483E-3</v>
      </c>
      <c r="B897" s="5">
        <v>-1.3001945869449805E-2</v>
      </c>
      <c r="C897" s="5">
        <v>1.0385492022594311E-2</v>
      </c>
      <c r="D897" s="5">
        <v>-2.2929206076239828E-3</v>
      </c>
    </row>
    <row r="898" spans="1:4" x14ac:dyDescent="0.25">
      <c r="A898" s="5">
        <v>0</v>
      </c>
      <c r="B898" s="5">
        <v>-7.0436419033963582E-2</v>
      </c>
      <c r="C898" s="5">
        <v>-1.6673532238764555E-3</v>
      </c>
      <c r="D898" s="5">
        <v>-6.1763860959493933E-3</v>
      </c>
    </row>
    <row r="899" spans="1:4" x14ac:dyDescent="0.25">
      <c r="A899" s="5">
        <v>-5.8744993324432171E-3</v>
      </c>
      <c r="B899" s="5">
        <v>0.12812108358237739</v>
      </c>
      <c r="C899" s="5">
        <v>-2.28907140330884E-2</v>
      </c>
      <c r="D899" s="5">
        <v>-7.9491255961844365E-3</v>
      </c>
    </row>
    <row r="900" spans="1:4" x14ac:dyDescent="0.25">
      <c r="A900" s="5">
        <v>-2.793446145581524E-2</v>
      </c>
      <c r="B900" s="5">
        <v>-6.6740728080669998E-2</v>
      </c>
      <c r="C900" s="5">
        <v>-5.0473566731685793E-3</v>
      </c>
      <c r="D900" s="5">
        <v>1.6754079254079235E-2</v>
      </c>
    </row>
    <row r="901" spans="1:4" x14ac:dyDescent="0.25">
      <c r="A901" s="5">
        <v>8.0132633324123681E-3</v>
      </c>
      <c r="B901" s="5">
        <v>-1.7763941031041064E-2</v>
      </c>
      <c r="C901" s="5">
        <v>1.121710659282904E-2</v>
      </c>
      <c r="D901" s="5">
        <v>-1.9057171514543669E-2</v>
      </c>
    </row>
    <row r="902" spans="1:4" x14ac:dyDescent="0.25">
      <c r="A902" s="5">
        <v>4.3859649122806044E-3</v>
      </c>
      <c r="B902" s="5">
        <v>-6.3577887573412872E-2</v>
      </c>
      <c r="C902" s="5">
        <v>7.3951192213139727E-4</v>
      </c>
      <c r="D902" s="5">
        <v>-1.2708150744960567E-2</v>
      </c>
    </row>
    <row r="903" spans="1:4" x14ac:dyDescent="0.25">
      <c r="A903" s="5">
        <v>8.4606986899562475E-3</v>
      </c>
      <c r="B903" s="5">
        <v>3.782976605276267E-2</v>
      </c>
      <c r="C903" s="5">
        <v>-5.2326742560415695E-3</v>
      </c>
      <c r="D903" s="5">
        <v>2.2192632046160732E-3</v>
      </c>
    </row>
    <row r="904" spans="1:4" x14ac:dyDescent="0.25">
      <c r="A904" s="5">
        <v>2.6522327469553408E-2</v>
      </c>
      <c r="B904" s="5">
        <v>-5.1223021582733841E-2</v>
      </c>
      <c r="C904" s="5">
        <v>1.5760520398329536E-2</v>
      </c>
      <c r="D904" s="5">
        <v>-1.2252731030410358E-2</v>
      </c>
    </row>
    <row r="905" spans="1:4" x14ac:dyDescent="0.25">
      <c r="A905" s="5">
        <v>-1.7400474558396994E-2</v>
      </c>
      <c r="B905" s="5">
        <v>6.126781922960256E-2</v>
      </c>
      <c r="C905" s="5">
        <v>-1.3638250350839098E-2</v>
      </c>
      <c r="D905" s="5">
        <v>1.1209086833059434E-2</v>
      </c>
    </row>
    <row r="906" spans="1:4" x14ac:dyDescent="0.25">
      <c r="A906" s="5">
        <v>-2.119667292728733E-2</v>
      </c>
      <c r="B906" s="5">
        <v>-2.0958369057826332E-3</v>
      </c>
      <c r="C906" s="5">
        <v>-1.8275454381500134E-2</v>
      </c>
      <c r="D906" s="5">
        <v>4.2861365651787331E-3</v>
      </c>
    </row>
    <row r="907" spans="1:4" x14ac:dyDescent="0.25">
      <c r="A907" s="5">
        <v>-3.125E-2</v>
      </c>
      <c r="B907" s="5">
        <v>4.0763723150357922E-2</v>
      </c>
      <c r="C907" s="5">
        <v>-3.0025923128737975E-2</v>
      </c>
      <c r="D907" s="5">
        <v>1.1037527593819041E-2</v>
      </c>
    </row>
    <row r="908" spans="1:4" x14ac:dyDescent="0.25">
      <c r="A908" s="5">
        <v>8.2059988681379981E-3</v>
      </c>
      <c r="B908" s="5">
        <v>6.5309117593102206E-2</v>
      </c>
      <c r="C908" s="5">
        <v>9.9747474747475806E-3</v>
      </c>
      <c r="D908" s="5">
        <v>-8.2969432314410341E-3</v>
      </c>
    </row>
    <row r="909" spans="1:4" x14ac:dyDescent="0.25">
      <c r="A909" s="5">
        <v>-2.5820937412292966E-2</v>
      </c>
      <c r="B909" s="5">
        <v>1.6703977957637228E-2</v>
      </c>
      <c r="C909" s="5">
        <v>-6.938367295912018E-3</v>
      </c>
      <c r="D909" s="5">
        <v>7.7792455599587917E-3</v>
      </c>
    </row>
    <row r="910" spans="1:4" x14ac:dyDescent="0.25">
      <c r="A910" s="5">
        <v>2.4200518582541131E-2</v>
      </c>
      <c r="B910" s="5">
        <v>4.0481029810297997E-2</v>
      </c>
      <c r="C910" s="5">
        <v>2.3331444996957718E-2</v>
      </c>
      <c r="D910" s="5">
        <v>6.5831634139236872E-2</v>
      </c>
    </row>
    <row r="911" spans="1:4" x14ac:dyDescent="0.25">
      <c r="A911" s="5">
        <v>8.1575246132208346E-3</v>
      </c>
      <c r="B911" s="5">
        <v>1.3999674426176112E-2</v>
      </c>
      <c r="C911" s="5">
        <v>4.2851577717180067E-3</v>
      </c>
      <c r="D911" s="5">
        <v>3.6895326591965816E-3</v>
      </c>
    </row>
    <row r="912" spans="1:4" x14ac:dyDescent="0.25">
      <c r="A912" s="5">
        <v>2.9575892857142794E-2</v>
      </c>
      <c r="B912" s="5">
        <v>4.3506180767378444E-2</v>
      </c>
      <c r="C912" s="5">
        <v>5.1039157241428157E-4</v>
      </c>
      <c r="D912" s="5">
        <v>3.6759700476514112E-3</v>
      </c>
    </row>
    <row r="913" spans="1:4" x14ac:dyDescent="0.25">
      <c r="A913" s="5">
        <v>1.3008130081300751E-2</v>
      </c>
      <c r="B913" s="5">
        <v>-2.115384615384619E-2</v>
      </c>
      <c r="C913" s="5">
        <v>1.66098720590937E-2</v>
      </c>
      <c r="D913" s="5">
        <v>1.112316874660868E-2</v>
      </c>
    </row>
    <row r="914" spans="1:4" x14ac:dyDescent="0.25">
      <c r="A914" s="5">
        <v>-7.2231139646870002E-3</v>
      </c>
      <c r="B914" s="5">
        <v>9.8231827111985304E-3</v>
      </c>
      <c r="C914" s="5">
        <v>3.1914253025833172E-3</v>
      </c>
      <c r="D914" s="5">
        <v>9.3909310437350069E-3</v>
      </c>
    </row>
    <row r="915" spans="1:4" x14ac:dyDescent="0.25">
      <c r="A915" s="5">
        <v>4.8504446240904553E-3</v>
      </c>
      <c r="B915" s="5">
        <v>-3.7042801556420257E-2</v>
      </c>
      <c r="C915" s="5">
        <v>1.716686674669865E-2</v>
      </c>
      <c r="D915" s="5">
        <v>4.5188729399254779E-3</v>
      </c>
    </row>
    <row r="916" spans="1:4" x14ac:dyDescent="0.25">
      <c r="A916" s="5">
        <v>3.2180209171359664E-2</v>
      </c>
      <c r="B916" s="5">
        <v>4.5498626151608157E-2</v>
      </c>
      <c r="C916" s="5">
        <v>2.1047248121484063E-3</v>
      </c>
      <c r="D916" s="5">
        <v>1.5877216194759569E-3</v>
      </c>
    </row>
    <row r="917" spans="1:4" x14ac:dyDescent="0.25">
      <c r="A917" s="5">
        <v>1.8965965185762546E-2</v>
      </c>
      <c r="B917" s="5">
        <v>-2.2493622941949454E-2</v>
      </c>
      <c r="C917" s="5">
        <v>9.6182157228383858E-3</v>
      </c>
      <c r="D917" s="5">
        <v>4.3593130779391309E-3</v>
      </c>
    </row>
    <row r="918" spans="1:4" x14ac:dyDescent="0.25">
      <c r="A918" s="5">
        <v>7.1392146863844541E-3</v>
      </c>
      <c r="B918" s="5">
        <v>1.4550055353471425E-2</v>
      </c>
      <c r="C918" s="5">
        <v>-1.6525712063769626E-3</v>
      </c>
      <c r="D918" s="5">
        <v>1.3152702880441236E-3</v>
      </c>
    </row>
    <row r="919" spans="1:4" x14ac:dyDescent="0.25">
      <c r="A919" s="5">
        <v>6.8354430379746756E-3</v>
      </c>
      <c r="B919" s="5">
        <v>-2.0966484801247076E-2</v>
      </c>
      <c r="C919" s="5">
        <v>3.5053554040895829E-3</v>
      </c>
      <c r="D919" s="5">
        <v>-6.5677131222907636E-4</v>
      </c>
    </row>
    <row r="920" spans="1:4" x14ac:dyDescent="0.25">
      <c r="A920" s="5">
        <v>-2.4893135529293398E-2</v>
      </c>
      <c r="B920" s="5">
        <v>-6.3848419711806437E-2</v>
      </c>
      <c r="C920" s="5">
        <v>-8.0923733747331195E-3</v>
      </c>
      <c r="D920" s="5">
        <v>4.4689800210304664E-3</v>
      </c>
    </row>
    <row r="921" spans="1:4" x14ac:dyDescent="0.25">
      <c r="A921" s="5">
        <v>1.4440433212996373E-2</v>
      </c>
      <c r="B921" s="5">
        <v>1.5137341610681254E-2</v>
      </c>
      <c r="C921" s="5">
        <v>1.0819165378670892E-2</v>
      </c>
      <c r="D921" s="5">
        <v>1.0599319549856157E-2</v>
      </c>
    </row>
    <row r="922" spans="1:4" x14ac:dyDescent="0.25">
      <c r="A922" s="5">
        <v>-2.7961362480934948E-3</v>
      </c>
      <c r="B922" s="5">
        <v>-9.5250062829856708E-2</v>
      </c>
      <c r="C922" s="5">
        <v>-2.4580962334997958E-3</v>
      </c>
      <c r="D922" s="5">
        <v>-7.7690016832832054E-4</v>
      </c>
    </row>
    <row r="923" spans="1:4" x14ac:dyDescent="0.25">
      <c r="A923" s="5">
        <v>-2.5490695896002169E-4</v>
      </c>
      <c r="B923" s="5">
        <v>-1.6574074074074074E-2</v>
      </c>
      <c r="C923" s="5">
        <v>1.3387919827703154E-3</v>
      </c>
      <c r="D923" s="5">
        <v>9.0708824672791621E-4</v>
      </c>
    </row>
    <row r="924" spans="1:4" x14ac:dyDescent="0.25">
      <c r="A924" s="5">
        <v>-2.1927587965323792E-2</v>
      </c>
      <c r="B924" s="5">
        <v>9.4153092929103455E-3</v>
      </c>
      <c r="C924" s="5">
        <v>-5.7161680359634204E-3</v>
      </c>
      <c r="D924" s="5">
        <v>-3.6250647332988217E-3</v>
      </c>
    </row>
    <row r="925" spans="1:4" x14ac:dyDescent="0.25">
      <c r="A925" s="5">
        <v>1.355578727841511E-2</v>
      </c>
      <c r="B925" s="5">
        <v>-4.0854397910642715E-2</v>
      </c>
      <c r="C925" s="5">
        <v>1.5590591078273874E-4</v>
      </c>
      <c r="D925" s="5">
        <v>-4.1580041580041582E-3</v>
      </c>
    </row>
    <row r="926" spans="1:4" x14ac:dyDescent="0.25">
      <c r="A926" s="5">
        <v>-6.6872427983538651E-3</v>
      </c>
      <c r="B926" s="5">
        <v>3.539823008849563E-2</v>
      </c>
      <c r="C926" s="5">
        <v>9.4113520780967352E-3</v>
      </c>
      <c r="D926" s="5">
        <v>9.1336116910230025E-3</v>
      </c>
    </row>
    <row r="927" spans="1:4" x14ac:dyDescent="0.25">
      <c r="A927" s="5">
        <v>-3.4955981356809995E-2</v>
      </c>
      <c r="B927" s="5">
        <v>1.5309476847938486E-2</v>
      </c>
      <c r="C927" s="5">
        <v>-2.0230098061925772E-2</v>
      </c>
      <c r="D927" s="5">
        <v>1.9006982156710706E-2</v>
      </c>
    </row>
    <row r="928" spans="1:4" x14ac:dyDescent="0.25">
      <c r="A928" s="5">
        <v>-9.6592433592701532E-3</v>
      </c>
      <c r="B928" s="5">
        <v>8.1498612395929593E-2</v>
      </c>
      <c r="C928" s="5">
        <v>-2.4824651272755682E-3</v>
      </c>
      <c r="D928" s="5">
        <v>3.806623524933439E-4</v>
      </c>
    </row>
    <row r="929" spans="1:4" x14ac:dyDescent="0.25">
      <c r="A929" s="5">
        <v>1.1379030073150886E-2</v>
      </c>
      <c r="B929" s="5">
        <v>1.9074501753485684E-2</v>
      </c>
      <c r="C929" s="5">
        <v>-2.4688919612877447E-3</v>
      </c>
      <c r="D929" s="5">
        <v>1.0400811770674867E-2</v>
      </c>
    </row>
    <row r="930" spans="1:4" x14ac:dyDescent="0.25">
      <c r="A930" s="5">
        <v>-2.7055987141709092E-2</v>
      </c>
      <c r="B930" s="5">
        <v>-3.3573946617426742E-4</v>
      </c>
      <c r="C930" s="5">
        <v>-1.6651816651816698E-2</v>
      </c>
      <c r="D930" s="5">
        <v>1.1800150640220997E-2</v>
      </c>
    </row>
    <row r="931" spans="1:4" x14ac:dyDescent="0.25">
      <c r="A931" s="5">
        <v>1.2114537444933848E-2</v>
      </c>
      <c r="B931" s="5">
        <v>-1.9479429051217467E-2</v>
      </c>
      <c r="C931" s="5">
        <v>1.1255637886598002E-2</v>
      </c>
      <c r="D931" s="5">
        <v>-4.9627791563278123E-4</v>
      </c>
    </row>
    <row r="932" spans="1:4" x14ac:dyDescent="0.25">
      <c r="A932" s="5">
        <v>1.2513601741022784E-2</v>
      </c>
      <c r="B932" s="5">
        <v>-1.0190101044699418E-2</v>
      </c>
      <c r="C932" s="5">
        <v>4.1216175855682824E-3</v>
      </c>
      <c r="D932" s="5">
        <v>-2.4329692154915539E-2</v>
      </c>
    </row>
    <row r="933" spans="1:4" x14ac:dyDescent="0.25">
      <c r="A933" s="5">
        <v>4.5674368619021966E-3</v>
      </c>
      <c r="B933" s="5">
        <v>-1.9205813651699932E-2</v>
      </c>
      <c r="C933" s="5">
        <v>1.0232004759072044E-2</v>
      </c>
      <c r="D933" s="5">
        <v>5.4707379134859568E-3</v>
      </c>
    </row>
    <row r="934" spans="1:4" x14ac:dyDescent="0.25">
      <c r="A934" s="5">
        <v>4.8676116608718845E-2</v>
      </c>
      <c r="B934" s="5">
        <v>3.9693040486901365E-2</v>
      </c>
      <c r="C934" s="5">
        <v>8.597338358261597E-3</v>
      </c>
      <c r="D934" s="5">
        <v>-1.2526888523345603E-2</v>
      </c>
    </row>
    <row r="935" spans="1:4" x14ac:dyDescent="0.25">
      <c r="A935" s="5">
        <v>2.2443254271869328E-2</v>
      </c>
      <c r="B935" s="5">
        <v>-1.5864935946381609E-2</v>
      </c>
      <c r="C935" s="5">
        <v>5.312937879495605E-3</v>
      </c>
      <c r="D935" s="5">
        <v>1.3070220399794996E-2</v>
      </c>
    </row>
    <row r="936" spans="1:4" x14ac:dyDescent="0.25">
      <c r="A936" s="5">
        <v>-4.98877525567476E-3</v>
      </c>
      <c r="B936" s="5">
        <v>2.2413793103448487E-3</v>
      </c>
      <c r="C936" s="5">
        <v>1.5099599279866371E-3</v>
      </c>
      <c r="D936" s="5">
        <v>1.6063749051353327E-2</v>
      </c>
    </row>
    <row r="937" spans="1:4" x14ac:dyDescent="0.25">
      <c r="A937" s="5">
        <v>-1.0027575833542191E-2</v>
      </c>
      <c r="B937" s="5">
        <v>3.9652503010493723E-2</v>
      </c>
      <c r="C937" s="5">
        <v>4.6390258045803101E-4</v>
      </c>
      <c r="D937" s="5">
        <v>4.2325407693264427E-3</v>
      </c>
    </row>
    <row r="938" spans="1:4" x14ac:dyDescent="0.25">
      <c r="A938" s="5">
        <v>-1.0888832615852162E-2</v>
      </c>
      <c r="B938" s="5">
        <v>2.1841648051625695E-2</v>
      </c>
      <c r="C938" s="5">
        <v>-3.2458123224946567E-3</v>
      </c>
      <c r="D938" s="5">
        <v>9.0492128424444207E-3</v>
      </c>
    </row>
    <row r="939" spans="1:4" x14ac:dyDescent="0.25">
      <c r="A939" s="5">
        <v>1.6897081413210335E-2</v>
      </c>
      <c r="B939" s="5">
        <v>4.2911505141283168E-3</v>
      </c>
      <c r="C939" s="5">
        <v>1.7444903180787286E-2</v>
      </c>
      <c r="D939" s="5">
        <v>-1.8181818181818188E-2</v>
      </c>
    </row>
    <row r="940" spans="1:4" x14ac:dyDescent="0.25">
      <c r="A940" s="5">
        <v>1.9889224572003927E-2</v>
      </c>
      <c r="B940" s="5">
        <v>-2.1283456949371171E-2</v>
      </c>
      <c r="C940" s="5">
        <v>-1.9622411461012179E-3</v>
      </c>
      <c r="D940" s="5">
        <v>-1.7517517517517955E-3</v>
      </c>
    </row>
    <row r="941" spans="1:4" x14ac:dyDescent="0.25">
      <c r="A941" s="5">
        <v>-4.4433473216489716E-3</v>
      </c>
      <c r="B941" s="5">
        <v>3.2948929159792861E-4</v>
      </c>
      <c r="C941" s="5">
        <v>2.4623959685423635E-3</v>
      </c>
      <c r="D941" s="5">
        <v>1.2158435698169878E-2</v>
      </c>
    </row>
    <row r="942" spans="1:4" x14ac:dyDescent="0.25">
      <c r="A942" s="5">
        <v>2.6779072650632285E-2</v>
      </c>
      <c r="B942" s="5">
        <v>-3.6561264822134398E-2</v>
      </c>
      <c r="C942" s="5">
        <v>2.8752594398004927E-3</v>
      </c>
      <c r="D942" s="5">
        <v>6.4396284829721928E-3</v>
      </c>
    </row>
    <row r="943" spans="1:4" x14ac:dyDescent="0.25">
      <c r="A943" s="5">
        <v>-2.414875633904856E-3</v>
      </c>
      <c r="B943" s="5">
        <v>1.5811965811965756E-2</v>
      </c>
      <c r="C943" s="5">
        <v>-2.0315941368572732E-3</v>
      </c>
      <c r="D943" s="5">
        <v>-1.033591731266148E-2</v>
      </c>
    </row>
    <row r="944" spans="1:4" x14ac:dyDescent="0.25">
      <c r="A944" s="5">
        <v>7.9883805374001415E-3</v>
      </c>
      <c r="B944" s="5">
        <v>3.3655868742112016E-2</v>
      </c>
      <c r="C944" s="5">
        <v>3.9763322615626873E-3</v>
      </c>
      <c r="D944" s="5">
        <v>0</v>
      </c>
    </row>
    <row r="945" spans="1:4" x14ac:dyDescent="0.25">
      <c r="A945" s="5">
        <v>-3.0739673390970168E-2</v>
      </c>
      <c r="B945" s="5">
        <v>1.684981684981679E-2</v>
      </c>
      <c r="C945" s="5">
        <v>-4.3964373697176207E-3</v>
      </c>
      <c r="D945" s="5">
        <v>6.3409175680715357E-3</v>
      </c>
    </row>
    <row r="946" spans="1:4" x14ac:dyDescent="0.25">
      <c r="A946" s="5">
        <v>-1.3379583746283452E-2</v>
      </c>
      <c r="B946" s="5">
        <v>2.2414345180915785E-2</v>
      </c>
      <c r="C946" s="5">
        <v>4.358749857246158E-3</v>
      </c>
      <c r="D946" s="5">
        <v>-2.2732888559426789E-2</v>
      </c>
    </row>
    <row r="947" spans="1:4" x14ac:dyDescent="0.25">
      <c r="A947" s="5">
        <v>1.5821195379206454E-2</v>
      </c>
      <c r="B947" s="5">
        <v>4.0479173191356077E-2</v>
      </c>
      <c r="C947" s="5">
        <v>-9.3429605624727463E-3</v>
      </c>
      <c r="D947" s="5">
        <v>7.7117572692793068E-3</v>
      </c>
    </row>
    <row r="948" spans="1:4" x14ac:dyDescent="0.25">
      <c r="A948" s="5">
        <v>-1.9777503090234738E-3</v>
      </c>
      <c r="B948" s="5">
        <v>-1.8060049665136191E-3</v>
      </c>
      <c r="C948" s="5">
        <v>1.7216972108502482E-4</v>
      </c>
      <c r="D948" s="5">
        <v>8.6563793752352236E-3</v>
      </c>
    </row>
    <row r="949" spans="1:4" x14ac:dyDescent="0.25">
      <c r="A949" s="5">
        <v>-2.006440426058953E-2</v>
      </c>
      <c r="B949" s="5">
        <v>1.6283452695062151E-2</v>
      </c>
      <c r="C949" s="5">
        <v>-1.8935409215232735E-3</v>
      </c>
      <c r="D949" s="5">
        <v>-9.8258706467662105E-3</v>
      </c>
    </row>
    <row r="950" spans="1:4" x14ac:dyDescent="0.25">
      <c r="A950" s="5">
        <v>-2.5278058645095136E-4</v>
      </c>
      <c r="B950" s="5">
        <v>-7.4178473407071621E-5</v>
      </c>
      <c r="C950" s="5">
        <v>9.2173846389698166E-3</v>
      </c>
      <c r="D950" s="5">
        <v>6.1550056525561114E-3</v>
      </c>
    </row>
    <row r="951" spans="1:4" x14ac:dyDescent="0.25">
      <c r="A951" s="5">
        <v>-1.3147914032869745E-2</v>
      </c>
      <c r="B951" s="5">
        <v>2.4258160237388804E-2</v>
      </c>
      <c r="C951" s="5">
        <v>-9.0002848191398366E-3</v>
      </c>
      <c r="D951" s="5">
        <v>2.3720349563045584E-3</v>
      </c>
    </row>
    <row r="952" spans="1:4" x14ac:dyDescent="0.25">
      <c r="A952" s="5">
        <v>-1.024852677427579E-3</v>
      </c>
      <c r="B952" s="5">
        <v>-4.6860288259578442E-2</v>
      </c>
      <c r="C952" s="5">
        <v>9.4652334693721141E-3</v>
      </c>
      <c r="D952" s="5">
        <v>1.6938597583758819E-2</v>
      </c>
    </row>
    <row r="953" spans="1:4" x14ac:dyDescent="0.25">
      <c r="A953" s="5">
        <v>-5.1295203898436004E-3</v>
      </c>
      <c r="B953" s="5">
        <v>3.130699088145894E-2</v>
      </c>
      <c r="C953" s="5">
        <v>6.8330644395937501E-3</v>
      </c>
      <c r="D953" s="5">
        <v>-5.2663808940600632E-3</v>
      </c>
    </row>
    <row r="954" spans="1:4" x14ac:dyDescent="0.25">
      <c r="A954" s="5">
        <v>2.7842227378190199E-2</v>
      </c>
      <c r="B954" s="5">
        <v>8.915414087827811E-3</v>
      </c>
      <c r="C954" s="5">
        <v>-1.6778207182580607E-3</v>
      </c>
      <c r="D954" s="5">
        <v>-4.063038660428453E-3</v>
      </c>
    </row>
    <row r="955" spans="1:4" x14ac:dyDescent="0.25">
      <c r="A955" s="5">
        <v>4.5146726862301811E-3</v>
      </c>
      <c r="B955" s="5">
        <v>7.814211640984503E-3</v>
      </c>
      <c r="C955" s="5">
        <v>5.9483344663493476E-3</v>
      </c>
      <c r="D955" s="5">
        <v>5.1922363703795771E-3</v>
      </c>
    </row>
    <row r="956" spans="1:4" x14ac:dyDescent="0.25">
      <c r="A956" s="5">
        <v>2.7465667915105296E-3</v>
      </c>
      <c r="B956" s="5">
        <v>4.1376811594202811E-2</v>
      </c>
      <c r="C956" s="5">
        <v>8.1845657111749848E-3</v>
      </c>
      <c r="D956" s="5">
        <v>-6.1493051285205214E-3</v>
      </c>
    </row>
    <row r="957" spans="1:4" x14ac:dyDescent="0.25">
      <c r="A957" s="5">
        <v>1.294820717131473E-2</v>
      </c>
      <c r="B957" s="5">
        <v>-8.3501496068472125E-4</v>
      </c>
      <c r="C957" s="5">
        <v>-7.6153946412944595E-3</v>
      </c>
      <c r="D957" s="5">
        <v>1.4973394381883498E-2</v>
      </c>
    </row>
    <row r="958" spans="1:4" x14ac:dyDescent="0.25">
      <c r="A958" s="5">
        <v>7.8662733529990536E-3</v>
      </c>
      <c r="B958" s="5">
        <v>-2.8066021310676259E-2</v>
      </c>
      <c r="C958" s="5">
        <v>4.2027843446283963E-3</v>
      </c>
      <c r="D958" s="5">
        <v>1.524018532065341E-2</v>
      </c>
    </row>
    <row r="959" spans="1:4" x14ac:dyDescent="0.25">
      <c r="A959" s="5">
        <v>1.1951219512195133E-2</v>
      </c>
      <c r="B959" s="5">
        <v>6.0905703640010689E-3</v>
      </c>
      <c r="C959" s="5">
        <v>1.4947124546904611E-4</v>
      </c>
      <c r="D959" s="5">
        <v>-2.762099195388501E-3</v>
      </c>
    </row>
    <row r="960" spans="1:4" x14ac:dyDescent="0.25">
      <c r="A960" s="5">
        <v>4.0009640877319841E-2</v>
      </c>
      <c r="B960" s="5">
        <v>8.0478598390427702E-3</v>
      </c>
      <c r="C960" s="5">
        <v>3.8483093592378559E-3</v>
      </c>
      <c r="D960" s="5">
        <v>-6.3824662813102284E-3</v>
      </c>
    </row>
    <row r="961" spans="1:4" x14ac:dyDescent="0.25">
      <c r="A961" s="5">
        <v>1.6222479721901273E-3</v>
      </c>
      <c r="B961" s="5">
        <v>-7.2064434082238504E-3</v>
      </c>
      <c r="C961" s="5">
        <v>-1.5445883578978359E-3</v>
      </c>
      <c r="D961" s="5">
        <v>2.9087383347472517E-3</v>
      </c>
    </row>
    <row r="962" spans="1:4" x14ac:dyDescent="0.25">
      <c r="A962" s="5">
        <v>2.0129569643683398E-2</v>
      </c>
      <c r="B962" s="5">
        <v>5.1949900370054092E-3</v>
      </c>
      <c r="C962" s="5">
        <v>-6.8961661044120159E-4</v>
      </c>
      <c r="D962" s="5">
        <v>-1.2688821752265822E-2</v>
      </c>
    </row>
    <row r="963" spans="1:4" x14ac:dyDescent="0.25">
      <c r="A963" s="5">
        <v>-1.8825130415060065E-2</v>
      </c>
      <c r="B963" s="5">
        <v>-1.352212389380536E-2</v>
      </c>
      <c r="C963" s="5">
        <v>-9.1204118173680016E-3</v>
      </c>
      <c r="D963" s="5">
        <v>-3.7943696450428721E-3</v>
      </c>
    </row>
    <row r="964" spans="1:4" x14ac:dyDescent="0.25">
      <c r="A964" s="5">
        <v>-2.6121128062875587E-2</v>
      </c>
      <c r="B964" s="5">
        <v>-4.7222620927228398E-2</v>
      </c>
      <c r="C964" s="5">
        <v>2.2587384945507161E-3</v>
      </c>
      <c r="D964" s="5">
        <v>6.8804521439980171E-3</v>
      </c>
    </row>
    <row r="965" spans="1:4" x14ac:dyDescent="0.25">
      <c r="A965" s="5">
        <v>-1.3529551388559269E-2</v>
      </c>
      <c r="B965" s="5">
        <v>1.9885507683037096E-2</v>
      </c>
      <c r="C965" s="5">
        <v>-3.9438841624883647E-4</v>
      </c>
      <c r="D965" s="5">
        <v>2.9286150091518692E-3</v>
      </c>
    </row>
    <row r="966" spans="1:4" x14ac:dyDescent="0.25">
      <c r="A966" s="5">
        <v>-4.8123195380173067E-3</v>
      </c>
      <c r="B966" s="5">
        <v>4.8005908419497256E-3</v>
      </c>
      <c r="C966" s="5">
        <v>3.1187765377822529E-3</v>
      </c>
      <c r="D966" s="5">
        <v>3.1634018737072278E-3</v>
      </c>
    </row>
    <row r="967" spans="1:4" x14ac:dyDescent="0.25">
      <c r="A967" s="5">
        <v>1.5957446808510634E-2</v>
      </c>
      <c r="B967" s="5">
        <v>2.837192208746786E-2</v>
      </c>
      <c r="C967" s="5">
        <v>1.5919988013184394E-3</v>
      </c>
      <c r="D967" s="5">
        <v>1.4918132201334089E-2</v>
      </c>
    </row>
    <row r="968" spans="1:4" x14ac:dyDescent="0.25">
      <c r="A968" s="5">
        <v>-1.2137077582103806E-2</v>
      </c>
      <c r="B968" s="5">
        <v>4.0740476020298733E-2</v>
      </c>
      <c r="C968" s="5">
        <v>-3.0106400882622397E-3</v>
      </c>
      <c r="D968" s="5">
        <v>-2.8680688336519822E-3</v>
      </c>
    </row>
    <row r="969" spans="1:4" x14ac:dyDescent="0.25">
      <c r="A969" s="5">
        <v>-2.8185979282100648E-2</v>
      </c>
      <c r="B969" s="5">
        <v>2.2457248815328512E-2</v>
      </c>
      <c r="C969" s="5">
        <v>-1.9675144421937074E-2</v>
      </c>
      <c r="D969" s="5">
        <v>4.9137104506231655E-3</v>
      </c>
    </row>
    <row r="970" spans="1:4" x14ac:dyDescent="0.25">
      <c r="A970" s="5">
        <v>-1.2146752602875566E-2</v>
      </c>
      <c r="B970" s="5">
        <v>-8.396023643202577E-3</v>
      </c>
      <c r="C970" s="5">
        <v>4.3430845466547741E-3</v>
      </c>
      <c r="D970" s="5">
        <v>1.168753726893268E-2</v>
      </c>
    </row>
    <row r="971" spans="1:4" x14ac:dyDescent="0.25">
      <c r="A971" s="5">
        <v>1.2547051442910462E-3</v>
      </c>
      <c r="B971" s="5">
        <v>-1.6053647632594981E-2</v>
      </c>
      <c r="C971" s="5">
        <v>-2.1716767630586276E-3</v>
      </c>
      <c r="D971" s="5">
        <v>-7.3087351172934634E-3</v>
      </c>
    </row>
    <row r="972" spans="1:4" x14ac:dyDescent="0.25">
      <c r="A972" s="5">
        <v>5.2631578947368585E-3</v>
      </c>
      <c r="B972" s="5">
        <v>2.0859149111937203E-2</v>
      </c>
      <c r="C972" s="5">
        <v>1.2027491408934665E-2</v>
      </c>
      <c r="D972" s="5">
        <v>9.2625578909868445E-3</v>
      </c>
    </row>
    <row r="973" spans="1:4" x14ac:dyDescent="0.25">
      <c r="A973" s="5">
        <v>-3.6649214659685847E-2</v>
      </c>
      <c r="B973" s="5">
        <v>-1.3621956976195282E-2</v>
      </c>
      <c r="C973" s="5">
        <v>2.4900962082625933E-2</v>
      </c>
      <c r="D973" s="5">
        <v>6.0007059654076933E-3</v>
      </c>
    </row>
    <row r="974" spans="1:4" x14ac:dyDescent="0.25">
      <c r="A974" s="5">
        <v>2.4068322981366519E-2</v>
      </c>
      <c r="B974" s="5">
        <v>3.3499692349763244E-3</v>
      </c>
      <c r="C974" s="5">
        <v>7.7857537272225663E-3</v>
      </c>
      <c r="D974" s="5">
        <v>-1.2046783625730972E-2</v>
      </c>
    </row>
    <row r="975" spans="1:4" x14ac:dyDescent="0.25">
      <c r="A975" s="5">
        <v>-1.3899418751579518E-2</v>
      </c>
      <c r="B975" s="5">
        <v>-3.2570182611065701E-2</v>
      </c>
      <c r="C975" s="5">
        <v>4.4198491406863827E-3</v>
      </c>
      <c r="D975" s="5">
        <v>-2.6044749615248275E-3</v>
      </c>
    </row>
    <row r="976" spans="1:4" x14ac:dyDescent="0.25">
      <c r="A976" s="5">
        <v>-5.8687852383393135E-2</v>
      </c>
      <c r="B976" s="5">
        <v>-1.2889139315396481E-2</v>
      </c>
      <c r="C976" s="5">
        <v>8.1825620510955765E-4</v>
      </c>
      <c r="D976" s="5">
        <v>-2.0178041543026382E-3</v>
      </c>
    </row>
    <row r="977" spans="1:4" x14ac:dyDescent="0.25">
      <c r="A977" s="5">
        <v>-1.6879934658317497E-2</v>
      </c>
      <c r="B977" s="5">
        <v>4.8947556189796737E-2</v>
      </c>
      <c r="C977" s="5">
        <v>-2.997819767441845E-3</v>
      </c>
      <c r="D977" s="5">
        <v>2.9971455756422349E-2</v>
      </c>
    </row>
    <row r="978" spans="1:4" x14ac:dyDescent="0.25">
      <c r="A978" s="5">
        <v>-1.5231237884242632E-2</v>
      </c>
      <c r="B978" s="5">
        <v>-7.618529351744785E-3</v>
      </c>
      <c r="C978" s="5">
        <v>5.1025056947606728E-4</v>
      </c>
      <c r="D978" s="5">
        <v>6.6974595842956841E-3</v>
      </c>
    </row>
    <row r="979" spans="1:4" x14ac:dyDescent="0.25">
      <c r="A979" s="5">
        <v>4.4994375703037992E-3</v>
      </c>
      <c r="B979" s="5">
        <v>5.3464939337857231E-3</v>
      </c>
      <c r="C979" s="5">
        <v>-6.3566653916907745E-3</v>
      </c>
      <c r="D979" s="5">
        <v>1.3879330121587596E-2</v>
      </c>
    </row>
    <row r="980" spans="1:4" x14ac:dyDescent="0.25">
      <c r="A980" s="5">
        <v>-5.8790593505039235E-3</v>
      </c>
      <c r="B980" s="5">
        <v>-3.2181086793481972E-2</v>
      </c>
      <c r="C980" s="5">
        <v>-1.2904644938959597E-2</v>
      </c>
      <c r="D980" s="5">
        <v>2.3192668853942777E-2</v>
      </c>
    </row>
    <row r="981" spans="1:4" x14ac:dyDescent="0.25">
      <c r="A981" s="5">
        <v>4.2523232892142993E-2</v>
      </c>
      <c r="B981" s="5">
        <v>-4.1775272983444856E-2</v>
      </c>
      <c r="C981" s="5">
        <v>4.1411327762301831E-3</v>
      </c>
      <c r="D981" s="5">
        <v>-1.0393631136665138E-2</v>
      </c>
    </row>
    <row r="982" spans="1:4" x14ac:dyDescent="0.25">
      <c r="A982" s="5">
        <v>2.3230686115613075E-2</v>
      </c>
      <c r="B982" s="5">
        <v>6.6166740185267248E-3</v>
      </c>
      <c r="C982" s="5">
        <v>3.6432230503209428E-3</v>
      </c>
      <c r="D982" s="5">
        <v>2.0223463687150778E-2</v>
      </c>
    </row>
    <row r="983" spans="1:4" x14ac:dyDescent="0.25">
      <c r="A983" s="5">
        <v>-4.2238648363251974E-3</v>
      </c>
      <c r="B983" s="5">
        <v>-1.1539585159217047E-2</v>
      </c>
      <c r="C983" s="5">
        <v>3.6852773171180964E-4</v>
      </c>
      <c r="D983" s="5">
        <v>6.2424707041945915E-3</v>
      </c>
    </row>
    <row r="984" spans="1:4" x14ac:dyDescent="0.25">
      <c r="A984" s="5">
        <v>1.1134676564156898E-2</v>
      </c>
      <c r="B984" s="5">
        <v>2.1501403871730496E-2</v>
      </c>
      <c r="C984" s="5">
        <v>5.0469699760544717E-3</v>
      </c>
      <c r="D984" s="5">
        <v>6.7479320853287561E-3</v>
      </c>
    </row>
    <row r="985" spans="1:4" x14ac:dyDescent="0.25">
      <c r="A985" s="5">
        <v>3.6706869428422273E-3</v>
      </c>
      <c r="B985" s="5">
        <v>2.7486437613020165E-3</v>
      </c>
      <c r="C985" s="5">
        <v>3.3538596877060733E-3</v>
      </c>
      <c r="D985" s="5">
        <v>1.5135135135135869E-3</v>
      </c>
    </row>
    <row r="986" spans="1:4" x14ac:dyDescent="0.25">
      <c r="A986" s="5">
        <v>-2.9780564263322873E-2</v>
      </c>
      <c r="B986" s="5">
        <v>1.1757916756834685E-2</v>
      </c>
      <c r="C986" s="5">
        <v>3.2147880249147054E-3</v>
      </c>
      <c r="D986" s="5">
        <v>9.3911917098445929E-3</v>
      </c>
    </row>
    <row r="987" spans="1:4" x14ac:dyDescent="0.25">
      <c r="A987" s="5">
        <v>4.0387722132471104E-3</v>
      </c>
      <c r="B987" s="5">
        <v>3.479252816198497E-2</v>
      </c>
      <c r="C987" s="5">
        <v>5.6078509913879415E-3</v>
      </c>
      <c r="D987" s="5">
        <v>1.0052400812747386E-2</v>
      </c>
    </row>
    <row r="988" spans="1:4" x14ac:dyDescent="0.25">
      <c r="A988" s="5">
        <v>4.2906945561813625E-3</v>
      </c>
      <c r="B988" s="5">
        <v>-5.511919525974518E-4</v>
      </c>
      <c r="C988" s="5">
        <v>-3.186616211909965E-3</v>
      </c>
      <c r="D988" s="5">
        <v>8.9994706193752272E-3</v>
      </c>
    </row>
    <row r="989" spans="1:4" x14ac:dyDescent="0.25">
      <c r="A989" s="5">
        <v>5.6074766355140859E-3</v>
      </c>
      <c r="B989" s="5">
        <v>-1.8061491796497964E-2</v>
      </c>
      <c r="C989" s="5">
        <v>5.2674598129143213E-3</v>
      </c>
      <c r="D989" s="5">
        <v>4.1972717733473885E-3</v>
      </c>
    </row>
    <row r="990" spans="1:4" x14ac:dyDescent="0.25">
      <c r="A990" s="5">
        <v>-2.2039298990971901E-2</v>
      </c>
      <c r="B990" s="5">
        <v>-2.5484414490311691E-2</v>
      </c>
      <c r="C990" s="5">
        <v>2.8186828078418102E-3</v>
      </c>
      <c r="D990" s="5">
        <v>-1.9540229885057436E-2</v>
      </c>
    </row>
    <row r="991" spans="1:4" x14ac:dyDescent="0.25">
      <c r="A991" s="5">
        <v>2.3622047244094446E-2</v>
      </c>
      <c r="B991" s="5">
        <v>-2.6943303796556406E-2</v>
      </c>
      <c r="C991" s="5">
        <v>2.342300138735709E-4</v>
      </c>
      <c r="D991" s="5">
        <v>7.6734519876371365E-3</v>
      </c>
    </row>
    <row r="992" spans="1:4" x14ac:dyDescent="0.25">
      <c r="A992" s="5">
        <v>-2.6525198938992522E-3</v>
      </c>
      <c r="B992" s="5">
        <v>3.1391130524913047E-2</v>
      </c>
      <c r="C992" s="5">
        <v>6.3047159275138043E-3</v>
      </c>
      <c r="D992" s="5">
        <v>4.3363299841354674E-3</v>
      </c>
    </row>
    <row r="993" spans="1:4" x14ac:dyDescent="0.25">
      <c r="A993" s="5">
        <v>-1.8617021276595702E-3</v>
      </c>
      <c r="B993" s="5">
        <v>-1.4141124111693326E-2</v>
      </c>
      <c r="C993" s="5">
        <v>-1.66475726765003E-3</v>
      </c>
      <c r="D993" s="5">
        <v>-9.1617523167649706E-3</v>
      </c>
    </row>
    <row r="994" spans="1:4" x14ac:dyDescent="0.25">
      <c r="A994" s="5">
        <v>-1.8918198774313888E-2</v>
      </c>
      <c r="B994" s="5">
        <v>-2.249890782000874E-2</v>
      </c>
      <c r="C994" s="5">
        <v>1.9902816876153917E-3</v>
      </c>
      <c r="D994" s="5">
        <v>1.7004995217344554E-3</v>
      </c>
    </row>
    <row r="995" spans="1:4" x14ac:dyDescent="0.25">
      <c r="A995" s="5">
        <v>2.9603476371537152E-2</v>
      </c>
      <c r="B995" s="5">
        <v>-1.6759776536312887E-2</v>
      </c>
      <c r="C995" s="5">
        <v>-5.2074013099030481E-3</v>
      </c>
      <c r="D995" s="5">
        <v>6.5782493368700123E-3</v>
      </c>
    </row>
    <row r="996" spans="1:4" x14ac:dyDescent="0.25">
      <c r="A996" s="5">
        <v>1.846478501714488E-3</v>
      </c>
      <c r="B996" s="5">
        <v>-1.2196969696969706E-2</v>
      </c>
      <c r="C996" s="5">
        <v>-2.8421866848949984E-3</v>
      </c>
      <c r="D996" s="5">
        <v>5.7974069779698212E-3</v>
      </c>
    </row>
    <row r="997" spans="1:4" x14ac:dyDescent="0.25">
      <c r="A997" s="5">
        <v>2.9225908372827902E-2</v>
      </c>
      <c r="B997" s="5">
        <v>-1.1350563693534821E-2</v>
      </c>
      <c r="C997" s="5">
        <v>7.5767142315950053E-3</v>
      </c>
      <c r="D997" s="5">
        <v>-1.9597568643890173E-2</v>
      </c>
    </row>
    <row r="998" spans="1:4" x14ac:dyDescent="0.25">
      <c r="A998" s="5">
        <v>-3.6582246098746496E-2</v>
      </c>
      <c r="B998" s="5">
        <v>1.3730509657900791E-2</v>
      </c>
      <c r="C998" s="5">
        <v>-5.1563926736254428E-3</v>
      </c>
      <c r="D998" s="5">
        <v>-1.6034206306787535E-3</v>
      </c>
    </row>
    <row r="999" spans="1:4" x14ac:dyDescent="0.25">
      <c r="A999" s="5">
        <v>-2.6818906001062182E-2</v>
      </c>
      <c r="B999" s="5">
        <v>3.0762167125803597E-2</v>
      </c>
      <c r="C999" s="5">
        <v>-7.1987762080394369E-5</v>
      </c>
      <c r="D999" s="5">
        <v>-1.2419700214132745E-2</v>
      </c>
    </row>
    <row r="1000" spans="1:4" x14ac:dyDescent="0.25">
      <c r="A1000" s="5">
        <v>-6.2755798090040615E-3</v>
      </c>
      <c r="B1000" s="5">
        <v>3.6896807720861124E-2</v>
      </c>
      <c r="C1000" s="5">
        <v>3.9236154856823191E-3</v>
      </c>
      <c r="D1000" s="5">
        <v>-2.0490026019080676E-2</v>
      </c>
    </row>
    <row r="1001" spans="1:4" x14ac:dyDescent="0.25">
      <c r="A1001" s="5">
        <v>-6.3152114222954081E-3</v>
      </c>
      <c r="B1001" s="5">
        <v>3.9378535118492763E-3</v>
      </c>
      <c r="C1001" s="5">
        <v>-4.1951271984079774E-3</v>
      </c>
      <c r="D1001" s="5">
        <v>2.5788599889319253E-2</v>
      </c>
    </row>
    <row r="1002" spans="1:4" x14ac:dyDescent="0.25">
      <c r="A1002" s="5">
        <v>-4.5869024592428809E-2</v>
      </c>
      <c r="B1002" s="5">
        <v>-2.068178576522639E-3</v>
      </c>
      <c r="C1002" s="5">
        <v>-2.9363579080025182E-2</v>
      </c>
      <c r="D1002" s="5">
        <v>1.1868795856710967E-3</v>
      </c>
    </row>
    <row r="1003" spans="1:4" x14ac:dyDescent="0.25">
      <c r="A1003" s="5">
        <v>-4.0544454097886096E-3</v>
      </c>
      <c r="B1003" s="5">
        <v>-2.0867576645465569E-2</v>
      </c>
      <c r="C1003" s="5">
        <v>-3.7096116036650084E-4</v>
      </c>
      <c r="D1003" s="5">
        <v>-1.2178036426339078E-2</v>
      </c>
    </row>
    <row r="1004" spans="1:4" x14ac:dyDescent="0.25">
      <c r="A1004" s="5">
        <v>9.8865949403896813E-3</v>
      </c>
      <c r="B1004" s="5">
        <v>3.5033939128530367E-3</v>
      </c>
      <c r="C1004" s="5">
        <v>1.1318514120310263E-2</v>
      </c>
      <c r="D1004" s="5">
        <v>-1.1891773947196205E-2</v>
      </c>
    </row>
    <row r="1005" spans="1:4" x14ac:dyDescent="0.25">
      <c r="A1005" s="5">
        <v>-9.213936078318441E-3</v>
      </c>
      <c r="B1005" s="5">
        <v>-2.3274419957815096E-2</v>
      </c>
      <c r="C1005" s="5">
        <v>3.9446646117715645E-3</v>
      </c>
      <c r="D1005" s="5">
        <v>-2.4290603952743517E-3</v>
      </c>
    </row>
    <row r="1006" spans="1:4" x14ac:dyDescent="0.25">
      <c r="A1006" s="5">
        <v>0</v>
      </c>
      <c r="B1006" s="5">
        <v>2.9935214833569201E-2</v>
      </c>
      <c r="C1006" s="5">
        <v>1.0288930718763245E-2</v>
      </c>
      <c r="D1006" s="5">
        <v>-3.8738240177088601E-3</v>
      </c>
    </row>
    <row r="1007" spans="1:4" x14ac:dyDescent="0.25">
      <c r="A1007" s="5">
        <v>1.7436791630340842E-3</v>
      </c>
      <c r="B1007" s="5">
        <v>4.4537632853734355E-2</v>
      </c>
      <c r="C1007" s="5">
        <v>-1.8089070583537925E-5</v>
      </c>
      <c r="D1007" s="5">
        <v>8.6666666666666003E-3</v>
      </c>
    </row>
    <row r="1008" spans="1:4" x14ac:dyDescent="0.25">
      <c r="A1008" s="5">
        <v>-6.0922541340295844E-3</v>
      </c>
      <c r="B1008" s="5">
        <v>3.4332387346853954E-2</v>
      </c>
      <c r="C1008" s="5">
        <v>-1.0365224941661699E-2</v>
      </c>
      <c r="D1008" s="5">
        <v>7.1601674377617108E-3</v>
      </c>
    </row>
    <row r="1009" spans="1:4" x14ac:dyDescent="0.25">
      <c r="A1009" s="5">
        <v>-1.4302393461762986E-2</v>
      </c>
      <c r="B1009" s="5">
        <v>-6.2169577728702352E-2</v>
      </c>
      <c r="C1009" s="5">
        <v>-1.1131827155077878E-2</v>
      </c>
      <c r="D1009" s="5">
        <v>-6.7811440446242655E-3</v>
      </c>
    </row>
    <row r="1010" spans="1:4" x14ac:dyDescent="0.25">
      <c r="A1010" s="5">
        <v>4.1456914421083013E-3</v>
      </c>
      <c r="B1010" s="5">
        <v>-2.1407164264308776E-4</v>
      </c>
      <c r="C1010" s="5">
        <v>-4.0296493465683536E-3</v>
      </c>
      <c r="D1010" s="5">
        <v>1.090188305252715E-2</v>
      </c>
    </row>
    <row r="1011" spans="1:4" x14ac:dyDescent="0.25">
      <c r="A1011" s="5">
        <v>4.2170451194337932E-2</v>
      </c>
      <c r="B1011" s="5">
        <v>-2.9976447077296409E-2</v>
      </c>
      <c r="C1011" s="5">
        <v>-2.5055214268480119E-3</v>
      </c>
      <c r="D1011" s="5">
        <v>1.3071895424836555E-2</v>
      </c>
    </row>
    <row r="1012" spans="1:4" x14ac:dyDescent="0.25">
      <c r="A1012" s="5">
        <v>-9.6208262591963578E-3</v>
      </c>
      <c r="B1012" s="5">
        <v>-1.9718931645942184E-2</v>
      </c>
      <c r="C1012" s="5">
        <v>1.2912588843820849E-2</v>
      </c>
      <c r="D1012" s="5">
        <v>-1.5806451612903172E-2</v>
      </c>
    </row>
    <row r="1013" spans="1:4" x14ac:dyDescent="0.25">
      <c r="A1013" s="5">
        <v>-1.2000000000000011E-2</v>
      </c>
      <c r="B1013" s="5">
        <v>-1.103355100202652E-2</v>
      </c>
      <c r="C1013" s="5">
        <v>5.8229243203526959E-3</v>
      </c>
      <c r="D1013" s="5">
        <v>-8.0847809461378484E-3</v>
      </c>
    </row>
    <row r="1014" spans="1:4" x14ac:dyDescent="0.25">
      <c r="A1014" s="5">
        <v>1.3591671486408385E-2</v>
      </c>
      <c r="B1014" s="5">
        <v>3.4001214329083096E-2</v>
      </c>
      <c r="C1014" s="5">
        <v>-1.1249703234289643E-2</v>
      </c>
      <c r="D1014" s="5">
        <v>6.0579358960237695E-3</v>
      </c>
    </row>
    <row r="1015" spans="1:4" x14ac:dyDescent="0.25">
      <c r="A1015" s="5">
        <v>2.4251069900142586E-2</v>
      </c>
      <c r="B1015" s="5">
        <v>-1.9597768643570213E-2</v>
      </c>
      <c r="C1015" s="5">
        <v>1.3483312092499311E-3</v>
      </c>
      <c r="D1015" s="5">
        <v>-4.3792423910660183E-4</v>
      </c>
    </row>
    <row r="1016" spans="1:4" x14ac:dyDescent="0.25">
      <c r="A1016" s="5">
        <v>1.9498607242340871E-3</v>
      </c>
      <c r="B1016" s="5">
        <v>3.0994983903571249E-2</v>
      </c>
      <c r="C1016" s="5">
        <v>-1.5217471501826063E-2</v>
      </c>
      <c r="D1016" s="5">
        <v>7.0098576122672451E-3</v>
      </c>
    </row>
    <row r="1017" spans="1:4" x14ac:dyDescent="0.25">
      <c r="A1017" s="5">
        <v>-1.6402557686961305E-2</v>
      </c>
      <c r="B1017" s="5">
        <v>2.265630673153729E-2</v>
      </c>
      <c r="C1017" s="5">
        <v>1.2924010563972743E-3</v>
      </c>
      <c r="D1017" s="5">
        <v>1.2399390907113395E-2</v>
      </c>
    </row>
    <row r="1018" spans="1:4" x14ac:dyDescent="0.25">
      <c r="A1018" s="5">
        <v>2.6568682871678906E-2</v>
      </c>
      <c r="B1018" s="5">
        <v>4.43087410352907E-2</v>
      </c>
      <c r="C1018" s="5">
        <v>1.2720266377344025E-3</v>
      </c>
      <c r="D1018" s="5">
        <v>1.611516974645566E-3</v>
      </c>
    </row>
    <row r="1019" spans="1:4" x14ac:dyDescent="0.25">
      <c r="A1019" s="5">
        <v>1.1013215859030812E-2</v>
      </c>
      <c r="B1019" s="5">
        <v>1.0199224858911116E-3</v>
      </c>
      <c r="C1019" s="5">
        <v>1.8290176736539321E-2</v>
      </c>
      <c r="D1019" s="5">
        <v>6.2211734420249964E-3</v>
      </c>
    </row>
    <row r="1020" spans="1:4" x14ac:dyDescent="0.25">
      <c r="A1020" s="5">
        <v>-2.7233115468409119E-3</v>
      </c>
      <c r="B1020" s="5">
        <v>-3.124575465290047E-2</v>
      </c>
      <c r="C1020" s="5">
        <v>-1.4861021924593709E-3</v>
      </c>
      <c r="D1020" s="5">
        <v>1.012685214795872E-2</v>
      </c>
    </row>
    <row r="1021" spans="1:4" x14ac:dyDescent="0.25">
      <c r="A1021" s="5">
        <v>3.5499726925176667E-3</v>
      </c>
      <c r="B1021" s="5">
        <v>-0.16968167157481417</v>
      </c>
      <c r="C1021" s="5">
        <v>9.5913567543730593E-3</v>
      </c>
      <c r="D1021" s="5">
        <v>2.7859856479527156E-2</v>
      </c>
    </row>
    <row r="1022" spans="1:4" x14ac:dyDescent="0.25">
      <c r="A1022" s="5">
        <v>2.3401360544217598E-2</v>
      </c>
      <c r="B1022" s="5">
        <v>8.9258571187299518E-2</v>
      </c>
      <c r="C1022" s="5">
        <v>9.0998434826921049E-3</v>
      </c>
      <c r="D1022" s="5">
        <v>-1.1293634496919447E-3</v>
      </c>
    </row>
    <row r="1023" spans="1:4" x14ac:dyDescent="0.25">
      <c r="A1023" s="5">
        <v>-2.12709385801646E-3</v>
      </c>
      <c r="B1023" s="5">
        <v>-4.1010931079928703E-2</v>
      </c>
      <c r="C1023" s="5">
        <v>5.6812033329727285E-3</v>
      </c>
      <c r="D1023" s="5">
        <v>2.1584952204749541E-3</v>
      </c>
    </row>
    <row r="1024" spans="1:4" x14ac:dyDescent="0.25">
      <c r="A1024" s="5">
        <v>-7.9936051159068544E-4</v>
      </c>
      <c r="B1024" s="5">
        <v>7.6798706548100171E-3</v>
      </c>
      <c r="C1024" s="5">
        <v>5.5415075052456242E-3</v>
      </c>
      <c r="D1024" s="5">
        <v>1.1794871794871709E-2</v>
      </c>
    </row>
    <row r="1025" spans="1:4" x14ac:dyDescent="0.25">
      <c r="A1025" s="5">
        <v>1.2000000000000011E-2</v>
      </c>
      <c r="B1025" s="5">
        <v>-3.6742880064179695E-2</v>
      </c>
      <c r="C1025" s="5">
        <v>-3.014089530943509E-3</v>
      </c>
      <c r="D1025" s="5">
        <v>-4.9670552458185302E-3</v>
      </c>
    </row>
    <row r="1026" spans="1:4" x14ac:dyDescent="0.25">
      <c r="A1026" s="5">
        <v>-1.5810276679841917E-2</v>
      </c>
      <c r="B1026" s="5">
        <v>-2.8400099941700674E-2</v>
      </c>
      <c r="C1026" s="5">
        <v>-1.3917461226096162E-2</v>
      </c>
      <c r="D1026" s="5">
        <v>1.4058679706601573E-2</v>
      </c>
    </row>
    <row r="1027" spans="1:4" x14ac:dyDescent="0.25">
      <c r="A1027" s="5">
        <v>9.3708165997321569E-3</v>
      </c>
      <c r="B1027" s="5">
        <v>1.705811760672038E-2</v>
      </c>
      <c r="C1027" s="5">
        <v>8.3812564628196196E-3</v>
      </c>
      <c r="D1027" s="5">
        <v>1.2356841470765545E-2</v>
      </c>
    </row>
    <row r="1028" spans="1:4" x14ac:dyDescent="0.25">
      <c r="A1028" s="5">
        <v>5.3050397877985045E-3</v>
      </c>
      <c r="B1028" s="5">
        <v>5.2085967130214961E-2</v>
      </c>
      <c r="C1028" s="5">
        <v>-4.3896734730592968E-3</v>
      </c>
      <c r="D1028" s="5">
        <v>1.6770864344546998E-2</v>
      </c>
    </row>
    <row r="1029" spans="1:4" x14ac:dyDescent="0.25">
      <c r="A1029" s="5">
        <v>4.0105540897097613E-2</v>
      </c>
      <c r="B1029" s="5">
        <v>3.0841945045261498E-2</v>
      </c>
      <c r="C1029" s="5">
        <v>5.22216801286568E-3</v>
      </c>
      <c r="D1029" s="5">
        <v>3.806363458910722E-3</v>
      </c>
    </row>
    <row r="1030" spans="1:4" x14ac:dyDescent="0.25">
      <c r="A1030" s="5">
        <v>-1.1669203450025423E-2</v>
      </c>
      <c r="B1030" s="5">
        <v>9.0146098849859246E-3</v>
      </c>
      <c r="C1030" s="5">
        <v>-5.3388459464317473E-3</v>
      </c>
      <c r="D1030" s="5">
        <v>-1.6528925619834656E-2</v>
      </c>
    </row>
    <row r="1031" spans="1:4" x14ac:dyDescent="0.25">
      <c r="A1031" s="5">
        <v>1.5400410677617993E-2</v>
      </c>
      <c r="B1031" s="5">
        <v>2.8727664818237741E-2</v>
      </c>
      <c r="C1031" s="5">
        <v>-6.5602804836173423E-3</v>
      </c>
      <c r="D1031" s="5">
        <v>1.7498764211566931E-2</v>
      </c>
    </row>
    <row r="1032" spans="1:4" x14ac:dyDescent="0.25">
      <c r="A1032" s="5">
        <v>1.1880687563195158E-2</v>
      </c>
      <c r="B1032" s="5">
        <v>-5.7647675376206742E-3</v>
      </c>
      <c r="C1032" s="5">
        <v>6.6399854466072661E-3</v>
      </c>
      <c r="D1032" s="5">
        <v>-4.37232802176446E-3</v>
      </c>
    </row>
    <row r="1033" spans="1:4" x14ac:dyDescent="0.25">
      <c r="A1033" s="5">
        <v>2.5231076692480592E-2</v>
      </c>
      <c r="B1033" s="5">
        <v>-1.2499999999999956E-2</v>
      </c>
      <c r="C1033" s="5">
        <v>4.102286075720718E-3</v>
      </c>
      <c r="D1033" s="5">
        <v>1.1125207377769009E-2</v>
      </c>
    </row>
    <row r="1034" spans="1:4" x14ac:dyDescent="0.25">
      <c r="A1034" s="5">
        <v>2.1929824561404132E-3</v>
      </c>
      <c r="B1034" s="5">
        <v>3.1645569620253111E-2</v>
      </c>
      <c r="C1034" s="5">
        <v>3.5995824484360561E-3</v>
      </c>
      <c r="D1034" s="5">
        <v>1.389827236753205E-2</v>
      </c>
    </row>
    <row r="1035" spans="1:4" x14ac:dyDescent="0.25">
      <c r="A1035" s="5">
        <v>-6.5645514223194867E-3</v>
      </c>
      <c r="B1035" s="5">
        <v>2.6313844334392877E-2</v>
      </c>
      <c r="C1035" s="5">
        <v>-9.7198809224919858E-3</v>
      </c>
      <c r="D1035" s="5">
        <v>-9.6144693003331616E-3</v>
      </c>
    </row>
    <row r="1036" spans="1:4" x14ac:dyDescent="0.25">
      <c r="A1036" s="5">
        <v>2.6921194322075293E-2</v>
      </c>
      <c r="B1036" s="5">
        <v>3.96110911055092E-3</v>
      </c>
      <c r="C1036" s="5">
        <v>7.1532053603766688E-3</v>
      </c>
      <c r="D1036" s="5">
        <v>-2.499038831218714E-3</v>
      </c>
    </row>
    <row r="1037" spans="1:4" x14ac:dyDescent="0.25">
      <c r="A1037" s="5">
        <v>-1.2392755004766443E-2</v>
      </c>
      <c r="B1037" s="5">
        <v>-1.2195121951219523E-3</v>
      </c>
      <c r="C1037" s="5">
        <v>8.9903802930857424E-4</v>
      </c>
      <c r="D1037" s="5">
        <v>2.1198689535555371E-3</v>
      </c>
    </row>
    <row r="1038" spans="1:4" x14ac:dyDescent="0.25">
      <c r="A1038" s="5">
        <v>1.6650579150579103E-2</v>
      </c>
      <c r="B1038" s="5">
        <v>6.3204769087121804E-3</v>
      </c>
      <c r="C1038" s="5">
        <v>-3.3054881882691456E-3</v>
      </c>
      <c r="D1038" s="5">
        <v>-6.5288461538461573E-2</v>
      </c>
    </row>
    <row r="1039" spans="1:4" x14ac:dyDescent="0.25">
      <c r="A1039" s="5">
        <v>9.0197009257062533E-3</v>
      </c>
      <c r="B1039" s="5">
        <v>-4.0539576047391335E-2</v>
      </c>
      <c r="C1039" s="5">
        <v>1.0562174438095928E-2</v>
      </c>
      <c r="D1039" s="5">
        <v>-2.4997428248122566E-2</v>
      </c>
    </row>
    <row r="1040" spans="1:4" x14ac:dyDescent="0.25">
      <c r="A1040" s="5">
        <v>-3.3639143730886834E-2</v>
      </c>
      <c r="B1040" s="5">
        <v>-3.0871085323216585E-2</v>
      </c>
      <c r="C1040" s="5">
        <v>3.5671607184317722E-5</v>
      </c>
      <c r="D1040" s="5">
        <v>-1.1711331504536848E-2</v>
      </c>
    </row>
    <row r="1041" spans="1:4" x14ac:dyDescent="0.25">
      <c r="A1041" s="5">
        <v>1.1197663096397248E-2</v>
      </c>
      <c r="B1041" s="5">
        <v>-2.8016579674547182E-2</v>
      </c>
      <c r="C1041" s="5">
        <v>2.8892971160534575E-3</v>
      </c>
      <c r="D1041" s="5">
        <v>4.2916622184263842E-2</v>
      </c>
    </row>
    <row r="1042" spans="1:4" x14ac:dyDescent="0.25">
      <c r="A1042" s="5">
        <v>0</v>
      </c>
      <c r="B1042" s="5">
        <v>3.6721156124141174E-2</v>
      </c>
      <c r="C1042" s="5">
        <v>2.4185947253294593E-3</v>
      </c>
      <c r="D1042" s="5">
        <v>-1.5252328795168357E-2</v>
      </c>
    </row>
    <row r="1043" spans="1:4" x14ac:dyDescent="0.25">
      <c r="A1043" s="5">
        <v>1.6851227732306295E-2</v>
      </c>
      <c r="B1043" s="5">
        <v>-8.4780621572212111E-2</v>
      </c>
      <c r="C1043" s="5">
        <v>-4.2045877907286311E-3</v>
      </c>
      <c r="D1043" s="5">
        <v>6.1330561330561473E-3</v>
      </c>
    </row>
    <row r="1044" spans="1:4" x14ac:dyDescent="0.25">
      <c r="A1044" s="5">
        <v>-3.4090909090909061E-2</v>
      </c>
      <c r="B1044" s="5">
        <v>3.970037453183517E-2</v>
      </c>
      <c r="C1044" s="5">
        <v>-1.7014074469980378E-2</v>
      </c>
      <c r="D1044" s="5">
        <v>1.880359541274923E-2</v>
      </c>
    </row>
    <row r="1045" spans="1:4" x14ac:dyDescent="0.25">
      <c r="A1045" s="5">
        <v>4.1666666666666519E-3</v>
      </c>
      <c r="B1045" s="5">
        <v>-8.6935638808837701E-2</v>
      </c>
      <c r="C1045" s="5">
        <v>-4.7304032623470826E-3</v>
      </c>
      <c r="D1045" s="5">
        <v>-1.0343778521448077E-2</v>
      </c>
    </row>
    <row r="1046" spans="1:4" x14ac:dyDescent="0.25">
      <c r="A1046" s="5">
        <v>-1.440078105931164E-2</v>
      </c>
      <c r="B1046" s="5">
        <v>1.6920918814658847E-2</v>
      </c>
      <c r="C1046" s="5">
        <v>-4.9714098408419893E-3</v>
      </c>
      <c r="D1046" s="5">
        <v>-2.6847013013628462E-2</v>
      </c>
    </row>
    <row r="1047" spans="1:4" x14ac:dyDescent="0.25">
      <c r="A1047" s="5">
        <v>1.1887072808320909E-2</v>
      </c>
      <c r="B1047" s="5">
        <v>1.1294077075610032E-2</v>
      </c>
      <c r="C1047" s="5">
        <v>6.222433703628738E-4</v>
      </c>
      <c r="D1047" s="5">
        <v>1.063493734863652E-2</v>
      </c>
    </row>
    <row r="1048" spans="1:4" x14ac:dyDescent="0.25">
      <c r="A1048" s="5">
        <v>-3.4263338228095908E-2</v>
      </c>
      <c r="B1048" s="5">
        <v>-5.737425404944585E-2</v>
      </c>
      <c r="C1048" s="5">
        <v>-1.6058527663465938E-2</v>
      </c>
      <c r="D1048" s="5">
        <v>-1.3961241925401158E-2</v>
      </c>
    </row>
    <row r="1049" spans="1:4" x14ac:dyDescent="0.25">
      <c r="A1049" s="5">
        <v>6.588950836289964E-3</v>
      </c>
      <c r="B1049" s="5">
        <v>1.9173374333001814E-2</v>
      </c>
      <c r="C1049" s="5">
        <v>1.5539899994423401E-2</v>
      </c>
      <c r="D1049" s="5">
        <v>-3.0853761622992359E-2</v>
      </c>
    </row>
    <row r="1050" spans="1:4" x14ac:dyDescent="0.25">
      <c r="A1050" s="5">
        <v>-2.5176233635448853E-4</v>
      </c>
      <c r="B1050" s="5">
        <v>-5.0669979590025727E-2</v>
      </c>
      <c r="C1050" s="5">
        <v>-1.7224022111178239E-2</v>
      </c>
      <c r="D1050" s="5">
        <v>-4.2520715220235483E-2</v>
      </c>
    </row>
    <row r="1051" spans="1:4" x14ac:dyDescent="0.25">
      <c r="A1051" s="5">
        <v>1.4354066985645897E-2</v>
      </c>
      <c r="B1051" s="5">
        <v>1.6638624041876993E-2</v>
      </c>
      <c r="C1051" s="5">
        <v>-1.2050212322133658E-2</v>
      </c>
      <c r="D1051" s="5">
        <v>-4.3270325666134868E-3</v>
      </c>
    </row>
    <row r="1052" spans="1:4" x14ac:dyDescent="0.25">
      <c r="A1052" s="5">
        <v>3.5253227408142962E-2</v>
      </c>
      <c r="B1052" s="5">
        <v>6.4178006620080996E-2</v>
      </c>
      <c r="C1052" s="5">
        <v>1.1216891318691635E-2</v>
      </c>
      <c r="D1052" s="5">
        <v>-2.5617566331198494E-2</v>
      </c>
    </row>
    <row r="1053" spans="1:4" x14ac:dyDescent="0.25">
      <c r="A1053" s="5">
        <v>-8.1534772182254578E-3</v>
      </c>
      <c r="B1053" s="5">
        <v>-1.382408847416583E-3</v>
      </c>
      <c r="C1053" s="5">
        <v>-1.8139448173005168E-2</v>
      </c>
      <c r="D1053" s="5">
        <v>-8.215962441314506E-3</v>
      </c>
    </row>
    <row r="1054" spans="1:4" x14ac:dyDescent="0.25">
      <c r="A1054" s="5">
        <v>6.7698259187620735E-3</v>
      </c>
      <c r="B1054" s="5">
        <v>5.2690776951029639E-2</v>
      </c>
      <c r="C1054" s="5">
        <v>5.3923709343610682E-3</v>
      </c>
      <c r="D1054" s="5">
        <v>1.0059171597633032E-2</v>
      </c>
    </row>
    <row r="1055" spans="1:4" x14ac:dyDescent="0.25">
      <c r="A1055" s="5">
        <v>-2.7137367915465949E-2</v>
      </c>
      <c r="B1055" s="5">
        <v>-1.7588559217555644E-2</v>
      </c>
      <c r="C1055" s="5">
        <v>-2.6439538441200394E-2</v>
      </c>
      <c r="D1055" s="5">
        <v>2.4721734036321052E-2</v>
      </c>
    </row>
    <row r="1056" spans="1:4" x14ac:dyDescent="0.25">
      <c r="A1056" s="5">
        <v>3.283139965440629E-2</v>
      </c>
      <c r="B1056" s="5">
        <v>-3.4301012298167843E-2</v>
      </c>
      <c r="C1056" s="5">
        <v>-8.205466431301045E-3</v>
      </c>
      <c r="D1056" s="5">
        <v>-2.1381202835581981E-2</v>
      </c>
    </row>
    <row r="1057" spans="1:4" x14ac:dyDescent="0.25">
      <c r="A1057" s="5">
        <v>1.4340344168259911E-3</v>
      </c>
      <c r="B1057" s="5">
        <v>1.8106211556787599E-2</v>
      </c>
      <c r="C1057" s="5">
        <v>4.8505711156312525E-3</v>
      </c>
      <c r="D1057" s="5">
        <v>8.6458698446079119E-3</v>
      </c>
    </row>
    <row r="1058" spans="1:4" x14ac:dyDescent="0.25">
      <c r="A1058" s="5">
        <v>3.1264916467780512E-2</v>
      </c>
      <c r="B1058" s="5">
        <v>8.5942818243702757E-3</v>
      </c>
      <c r="C1058" s="5">
        <v>-1.3060573030208689E-2</v>
      </c>
      <c r="D1058" s="5">
        <v>-6.0233985868179962E-3</v>
      </c>
    </row>
    <row r="1059" spans="1:4" x14ac:dyDescent="0.25">
      <c r="A1059" s="5">
        <v>9.9514001388567586E-3</v>
      </c>
      <c r="B1059" s="5">
        <v>-7.0024466379819961E-3</v>
      </c>
      <c r="C1059" s="5">
        <v>2.053051967261621E-2</v>
      </c>
      <c r="D1059" s="5">
        <v>1.9811210814590918E-3</v>
      </c>
    </row>
    <row r="1060" spans="1:4" x14ac:dyDescent="0.25">
      <c r="A1060" s="5">
        <v>2.1310724106324397E-2</v>
      </c>
      <c r="B1060" s="5">
        <v>3.152081563296516E-2</v>
      </c>
      <c r="C1060" s="5">
        <v>7.6334402659141709E-3</v>
      </c>
      <c r="D1060" s="5">
        <v>1.7562223772970453E-2</v>
      </c>
    </row>
    <row r="1061" spans="1:4" x14ac:dyDescent="0.25">
      <c r="A1061" s="5">
        <v>6.2822526363024433E-3</v>
      </c>
      <c r="B1061" s="5">
        <v>-5.9303187546330127E-3</v>
      </c>
      <c r="C1061" s="5">
        <v>-1.0548320899100516E-2</v>
      </c>
      <c r="D1061" s="5">
        <v>-3.1203566121842496E-2</v>
      </c>
    </row>
    <row r="1062" spans="1:4" x14ac:dyDescent="0.25">
      <c r="A1062" s="5">
        <v>8.4726867335562783E-3</v>
      </c>
      <c r="B1062" s="5">
        <v>-5.7419835943325892E-2</v>
      </c>
      <c r="C1062" s="5">
        <v>1.0505708359985322E-2</v>
      </c>
      <c r="D1062" s="5">
        <v>5.3091080698441928E-3</v>
      </c>
    </row>
    <row r="1063" spans="1:4" x14ac:dyDescent="0.25">
      <c r="A1063" s="5">
        <v>-1.5476453681184665E-3</v>
      </c>
      <c r="B1063" s="5">
        <v>-2.0481715893108321E-2</v>
      </c>
      <c r="C1063" s="5">
        <v>-2.3018049987532097E-3</v>
      </c>
      <c r="D1063" s="5">
        <v>4.928998943785956E-3</v>
      </c>
    </row>
    <row r="1064" spans="1:4" x14ac:dyDescent="0.25">
      <c r="A1064" s="5">
        <v>-1.4614703277236463E-2</v>
      </c>
      <c r="B1064" s="5">
        <v>-1.5794669299111552E-2</v>
      </c>
      <c r="C1064" s="5">
        <v>2.4993751562107924E-4</v>
      </c>
      <c r="D1064" s="5">
        <v>-5.6055120868854225E-3</v>
      </c>
    </row>
    <row r="1065" spans="1:4" x14ac:dyDescent="0.25">
      <c r="A1065" s="5">
        <v>-5.6179775280899014E-3</v>
      </c>
      <c r="B1065" s="5">
        <v>-1.1762560408498213E-2</v>
      </c>
      <c r="C1065" s="5">
        <v>1.7548917848767998E-2</v>
      </c>
      <c r="D1065" s="5">
        <v>3.1004110393423323E-2</v>
      </c>
    </row>
    <row r="1066" spans="1:4" x14ac:dyDescent="0.25">
      <c r="A1066" s="5">
        <v>1.7401129943502847E-2</v>
      </c>
      <c r="B1066" s="5">
        <v>1.6331426462447007E-2</v>
      </c>
      <c r="C1066" s="5">
        <v>2.3800978484671553E-3</v>
      </c>
      <c r="D1066" s="5">
        <v>1.1846451759881527E-2</v>
      </c>
    </row>
    <row r="1067" spans="1:4" x14ac:dyDescent="0.25">
      <c r="A1067" s="5">
        <v>-7.7743225233229962E-3</v>
      </c>
      <c r="B1067" s="5">
        <v>2.451202905129346E-3</v>
      </c>
      <c r="C1067" s="5">
        <v>-1.1664939225478177E-2</v>
      </c>
      <c r="D1067" s="5">
        <v>1.0469436001350862E-2</v>
      </c>
    </row>
    <row r="1068" spans="1:4" x14ac:dyDescent="0.25">
      <c r="A1068" s="5">
        <v>2.440116409223192E-2</v>
      </c>
      <c r="B1068" s="5">
        <v>-7.806556783191454E-2</v>
      </c>
      <c r="C1068" s="5">
        <v>-6.1968500934294068E-3</v>
      </c>
      <c r="D1068" s="5">
        <v>-2.7852049910873422E-2</v>
      </c>
    </row>
    <row r="1069" spans="1:4" x14ac:dyDescent="0.25">
      <c r="A1069" s="5">
        <v>-4.1520979020979176E-3</v>
      </c>
      <c r="B1069" s="5">
        <v>-7.3575638506876206E-2</v>
      </c>
      <c r="C1069" s="5">
        <v>-1.9972755703075551E-2</v>
      </c>
      <c r="D1069" s="5">
        <v>-4.6642218656887446E-2</v>
      </c>
    </row>
    <row r="1070" spans="1:4" x14ac:dyDescent="0.25">
      <c r="A1070" s="5">
        <v>8.7777046302393025E-3</v>
      </c>
      <c r="B1070" s="5">
        <v>3.5309087053334798E-2</v>
      </c>
      <c r="C1070" s="5">
        <v>6.0884886452623466E-3</v>
      </c>
      <c r="D1070" s="5">
        <v>7.693232359658575E-3</v>
      </c>
    </row>
    <row r="1071" spans="1:4" x14ac:dyDescent="0.25">
      <c r="A1071" s="5">
        <v>-3.6980639547531391E-3</v>
      </c>
      <c r="B1071" s="5">
        <v>-1.3723883654240043E-2</v>
      </c>
      <c r="C1071" s="5">
        <v>3.6776867544900949E-3</v>
      </c>
      <c r="D1071" s="5">
        <v>-2.4334963616843619E-2</v>
      </c>
    </row>
    <row r="1072" spans="1:4" x14ac:dyDescent="0.25">
      <c r="A1072" s="5">
        <v>-8.7336244541480479E-4</v>
      </c>
      <c r="B1072" s="5">
        <v>0.18722741433021817</v>
      </c>
      <c r="C1072" s="5">
        <v>6.0294687863513552E-3</v>
      </c>
      <c r="D1072" s="5">
        <v>9.5488446020295825E-2</v>
      </c>
    </row>
    <row r="1073" spans="1:4" x14ac:dyDescent="0.25">
      <c r="A1073" s="5">
        <v>-8.7412587412583065E-4</v>
      </c>
      <c r="B1073" s="5">
        <v>-5.9127088253301818E-2</v>
      </c>
      <c r="C1073" s="5">
        <v>-4.769613227727354E-2</v>
      </c>
      <c r="D1073" s="5">
        <v>1.1272321428571486E-2</v>
      </c>
    </row>
    <row r="1074" spans="1:4" x14ac:dyDescent="0.25">
      <c r="A1074" s="5">
        <v>-8.8363954505686793E-2</v>
      </c>
      <c r="B1074" s="5">
        <v>3.1235474574695443E-2</v>
      </c>
      <c r="C1074" s="5">
        <v>-5.7956937024445487E-2</v>
      </c>
      <c r="D1074" s="5">
        <v>2.4169517713276578E-2</v>
      </c>
    </row>
    <row r="1075" spans="1:4" x14ac:dyDescent="0.25">
      <c r="A1075" s="5">
        <v>-5.5182341650671374E-3</v>
      </c>
      <c r="B1075" s="5">
        <v>-1.9832326692509339E-3</v>
      </c>
      <c r="C1075" s="5">
        <v>-4.2103454201752877E-3</v>
      </c>
      <c r="D1075" s="5">
        <v>2.0797413793103514E-2</v>
      </c>
    </row>
    <row r="1076" spans="1:4" x14ac:dyDescent="0.25">
      <c r="A1076" s="5">
        <v>1.2062726176116367E-3</v>
      </c>
      <c r="B1076" s="5">
        <v>1.3458585493631992E-2</v>
      </c>
      <c r="C1076" s="5">
        <v>-1.4712227111916443E-2</v>
      </c>
      <c r="D1076" s="5">
        <v>-8.0228016467855934E-3</v>
      </c>
    </row>
    <row r="1077" spans="1:4" x14ac:dyDescent="0.25">
      <c r="A1077" s="5">
        <v>8.4096385542168584E-2</v>
      </c>
      <c r="B1077" s="5">
        <v>-6.871657754010696E-2</v>
      </c>
      <c r="C1077" s="5">
        <v>9.2744230853439635E-2</v>
      </c>
      <c r="D1077" s="5">
        <v>-2.9583909758433502E-2</v>
      </c>
    </row>
    <row r="1078" spans="1:4" x14ac:dyDescent="0.25">
      <c r="A1078" s="5">
        <v>4.8455212269393089E-2</v>
      </c>
      <c r="B1078" s="5">
        <v>-2.8710881424059753E-2</v>
      </c>
      <c r="C1078" s="5">
        <v>-3.4141454618312972E-2</v>
      </c>
      <c r="D1078" s="5">
        <v>2.2261212852286327E-2</v>
      </c>
    </row>
    <row r="1079" spans="1:4" x14ac:dyDescent="0.25">
      <c r="A1079" s="5">
        <v>5.3635785456858098E-2</v>
      </c>
      <c r="B1079" s="5">
        <v>-4.5127598778204714E-2</v>
      </c>
      <c r="C1079" s="5">
        <v>1.7611915529187172E-2</v>
      </c>
      <c r="D1079" s="5">
        <v>-8.6891225059000377E-3</v>
      </c>
    </row>
    <row r="1080" spans="1:4" x14ac:dyDescent="0.25">
      <c r="A1080" s="5">
        <v>6.4386317907445534E-3</v>
      </c>
      <c r="B1080" s="5">
        <v>2.0431328036322416E-2</v>
      </c>
      <c r="C1080" s="5">
        <v>1.004994394047487E-2</v>
      </c>
      <c r="D1080" s="5">
        <v>2.6404068823720372E-2</v>
      </c>
    </row>
    <row r="1081" spans="1:4" x14ac:dyDescent="0.25">
      <c r="A1081" s="5">
        <v>1.0195921631347415E-2</v>
      </c>
      <c r="B1081" s="5">
        <v>3.8628779451916229E-2</v>
      </c>
      <c r="C1081" s="5">
        <v>-2.8053604585452918E-3</v>
      </c>
      <c r="D1081" s="5">
        <v>1.1597258829731949E-3</v>
      </c>
    </row>
    <row r="1082" spans="1:4" x14ac:dyDescent="0.25">
      <c r="A1082" s="5">
        <v>2.7310508608747286E-2</v>
      </c>
      <c r="B1082" s="5">
        <v>3.621847921331911E-2</v>
      </c>
      <c r="C1082" s="5">
        <v>-2.1979801250784248E-2</v>
      </c>
      <c r="D1082" s="5">
        <v>9.2670598146586958E-3</v>
      </c>
    </row>
    <row r="1083" spans="1:4" x14ac:dyDescent="0.25">
      <c r="A1083" s="5">
        <v>-1.9071469851666301E-2</v>
      </c>
      <c r="B1083" s="5">
        <v>4.303297942309503E-2</v>
      </c>
      <c r="C1083" s="5">
        <v>1.3865033213997791E-3</v>
      </c>
      <c r="D1083" s="5">
        <v>-7.8255425709515825E-3</v>
      </c>
    </row>
    <row r="1084" spans="1:4" x14ac:dyDescent="0.25">
      <c r="A1084" s="5">
        <v>1.453260015710911E-2</v>
      </c>
      <c r="B1084" s="5">
        <v>-2.0538690208089405E-2</v>
      </c>
      <c r="C1084" s="5">
        <v>-2.3827237032444715E-2</v>
      </c>
      <c r="D1084" s="5">
        <v>1.3671258807446129E-3</v>
      </c>
    </row>
    <row r="1085" spans="1:4" x14ac:dyDescent="0.25">
      <c r="A1085" s="5">
        <v>-2.7680991095625274E-2</v>
      </c>
      <c r="B1085" s="5">
        <v>2.6671571783316583E-3</v>
      </c>
      <c r="C1085" s="5">
        <v>2.5234456040815534E-2</v>
      </c>
      <c r="D1085" s="5">
        <v>8.6116362108801248E-3</v>
      </c>
    </row>
    <row r="1086" spans="1:4" x14ac:dyDescent="0.25">
      <c r="A1086" s="5">
        <v>-2.9862631893290859E-2</v>
      </c>
      <c r="B1086" s="5">
        <v>-9.1726288754356844E-4</v>
      </c>
      <c r="C1086" s="5">
        <v>1.606475458919232E-2</v>
      </c>
      <c r="D1086" s="5">
        <v>1.2598917117867536E-2</v>
      </c>
    </row>
    <row r="1087" spans="1:4" x14ac:dyDescent="0.25">
      <c r="A1087" s="5">
        <v>2.1136876667350757E-2</v>
      </c>
      <c r="B1087" s="5">
        <v>2.4697025339698753E-2</v>
      </c>
      <c r="C1087" s="5">
        <v>2.1013270469648626E-2</v>
      </c>
      <c r="D1087" s="5">
        <v>1.6452442159382574E-3</v>
      </c>
    </row>
    <row r="1088" spans="1:4" x14ac:dyDescent="0.25">
      <c r="A1088" s="5">
        <v>-1.9091639871382626E-2</v>
      </c>
      <c r="B1088" s="5">
        <v>2.5893737120329829E-2</v>
      </c>
      <c r="C1088" s="5">
        <v>7.3645030950817425E-3</v>
      </c>
      <c r="D1088" s="5">
        <v>1.375628785545624E-2</v>
      </c>
    </row>
    <row r="1089" spans="1:4" x14ac:dyDescent="0.25">
      <c r="A1089" s="5">
        <v>1.2702315099364814E-2</v>
      </c>
      <c r="B1089" s="5">
        <v>-5.9388646288209834E-3</v>
      </c>
      <c r="C1089" s="5">
        <v>6.1251506589465876E-4</v>
      </c>
      <c r="D1089" s="5">
        <v>5.8734177215189476E-3</v>
      </c>
    </row>
    <row r="1090" spans="1:4" x14ac:dyDescent="0.25">
      <c r="A1090" s="5">
        <v>-1.9219097713938926E-2</v>
      </c>
      <c r="B1090" s="5">
        <v>-2.4600246002459691E-3</v>
      </c>
      <c r="C1090" s="5">
        <v>6.0621618419494094E-3</v>
      </c>
      <c r="D1090" s="5">
        <v>-7.8526125037753358E-3</v>
      </c>
    </row>
    <row r="1091" spans="1:4" x14ac:dyDescent="0.25">
      <c r="A1091" s="5">
        <v>1.093234323432335E-2</v>
      </c>
      <c r="B1091" s="5">
        <v>3.1002289941870709E-2</v>
      </c>
      <c r="C1091" s="5">
        <v>4.9068676519659071E-4</v>
      </c>
      <c r="D1091" s="5">
        <v>2.8411973617452624E-3</v>
      </c>
    </row>
    <row r="1092" spans="1:4" x14ac:dyDescent="0.25">
      <c r="A1092" s="5">
        <v>-3.6931238522750487E-2</v>
      </c>
      <c r="B1092" s="5">
        <v>2.6482145908082177E-3</v>
      </c>
      <c r="C1092" s="5">
        <v>7.0820418252441897E-3</v>
      </c>
      <c r="D1092" s="5">
        <v>-1.4165739148031986E-2</v>
      </c>
    </row>
    <row r="1093" spans="1:4" x14ac:dyDescent="0.25">
      <c r="A1093" s="5">
        <v>-2.5423728813559476E-3</v>
      </c>
      <c r="B1093" s="5">
        <v>-6.1344466217942983E-3</v>
      </c>
      <c r="C1093" s="5">
        <v>1.4337196844258271E-2</v>
      </c>
      <c r="D1093" s="5">
        <v>-7.2872831776660263E-3</v>
      </c>
    </row>
    <row r="1094" spans="1:4" x14ac:dyDescent="0.25">
      <c r="A1094" s="5">
        <v>3.4834324553950635E-2</v>
      </c>
      <c r="B1094" s="5">
        <v>5.4436348049721417E-2</v>
      </c>
      <c r="C1094" s="5">
        <v>-5.2236369572314922E-3</v>
      </c>
      <c r="D1094" s="5">
        <v>3.1017369727037725E-4</v>
      </c>
    </row>
    <row r="1095" spans="1:4" x14ac:dyDescent="0.25">
      <c r="A1095" s="5">
        <v>4.2487684729064057E-2</v>
      </c>
      <c r="B1095" s="5">
        <v>5.6341463414634196E-2</v>
      </c>
      <c r="C1095" s="5">
        <v>-8.5136778702291638E-3</v>
      </c>
      <c r="D1095" s="5">
        <v>-8.9922480620154843E-3</v>
      </c>
    </row>
    <row r="1096" spans="1:4" x14ac:dyDescent="0.25">
      <c r="A1096" s="5">
        <v>-1.9098247686552439E-2</v>
      </c>
      <c r="B1096" s="5">
        <v>4.1637804971907943E-2</v>
      </c>
      <c r="C1096" s="5">
        <v>4.5173098640913789E-3</v>
      </c>
      <c r="D1096" s="5">
        <v>9.9082186065915234E-3</v>
      </c>
    </row>
    <row r="1097" spans="1:4" x14ac:dyDescent="0.25">
      <c r="A1097" s="5">
        <v>-1.8867924528301883E-2</v>
      </c>
      <c r="B1097" s="5">
        <v>-3.7682872764888131E-3</v>
      </c>
      <c r="C1097" s="5">
        <v>6.6679589067648593E-3</v>
      </c>
      <c r="D1097" s="5">
        <v>-4.9571413818031429E-3</v>
      </c>
    </row>
    <row r="1098" spans="1:4" x14ac:dyDescent="0.25">
      <c r="A1098" s="5">
        <v>3.0482815057283119E-2</v>
      </c>
      <c r="B1098" s="5">
        <v>4.2275457984128906E-3</v>
      </c>
      <c r="C1098" s="5">
        <v>-1.3286093888397188E-3</v>
      </c>
      <c r="D1098" s="5">
        <v>1.961598339387649E-2</v>
      </c>
    </row>
    <row r="1099" spans="1:4" x14ac:dyDescent="0.25">
      <c r="A1099" s="5">
        <v>-7.4449076831447303E-2</v>
      </c>
      <c r="B1099" s="5">
        <v>1.2555391432791385E-3</v>
      </c>
      <c r="C1099" s="5">
        <v>3.3297985153764476E-2</v>
      </c>
      <c r="D1099" s="5">
        <v>-1.2214983713354499E-3</v>
      </c>
    </row>
    <row r="1100" spans="1:4" x14ac:dyDescent="0.25">
      <c r="A1100" s="5">
        <v>-1.7160017160017249E-3</v>
      </c>
      <c r="B1100" s="5">
        <v>-8.7777531902337724E-3</v>
      </c>
      <c r="C1100" s="5">
        <v>6.5681444991789739E-3</v>
      </c>
      <c r="D1100" s="5">
        <v>-3.2613126783530566E-3</v>
      </c>
    </row>
    <row r="1101" spans="1:4" x14ac:dyDescent="0.25">
      <c r="A1101" s="5">
        <v>-2.1272024065320139E-2</v>
      </c>
      <c r="B1101" s="5">
        <v>-1.9199285607977346E-2</v>
      </c>
      <c r="C1101" s="5">
        <v>1.2420287705769972E-3</v>
      </c>
      <c r="D1101" s="5">
        <v>-1.4008179959100198E-2</v>
      </c>
    </row>
    <row r="1102" spans="1:4" x14ac:dyDescent="0.25">
      <c r="A1102" s="5">
        <v>2.0636663007683964E-2</v>
      </c>
      <c r="B1102" s="5">
        <v>7.8148710166918711E-3</v>
      </c>
      <c r="C1102" s="5">
        <v>4.9064079539353767E-3</v>
      </c>
      <c r="D1102" s="5">
        <v>-5.1851083687649568E-3</v>
      </c>
    </row>
    <row r="1103" spans="1:4" x14ac:dyDescent="0.25">
      <c r="A1103" s="5">
        <v>-3.4416003441600784E-3</v>
      </c>
      <c r="B1103" s="5">
        <v>-1.1593766468418254E-2</v>
      </c>
      <c r="C1103" s="5">
        <v>6.4485223671604253E-3</v>
      </c>
      <c r="D1103" s="5">
        <v>4.2739497550297045E-3</v>
      </c>
    </row>
    <row r="1104" spans="1:4" x14ac:dyDescent="0.25">
      <c r="A1104" s="5">
        <v>2.1800129505719745E-2</v>
      </c>
      <c r="B1104" s="5">
        <v>3.2066417853606533E-2</v>
      </c>
      <c r="C1104" s="5">
        <v>1.0251528576135094E-3</v>
      </c>
      <c r="D1104" s="5">
        <v>1.2871081586049327E-2</v>
      </c>
    </row>
    <row r="1105" spans="1:4" x14ac:dyDescent="0.25">
      <c r="A1105" s="5">
        <v>3.105196451204062E-2</v>
      </c>
      <c r="B1105" s="5">
        <v>-5.0922509225092005E-3</v>
      </c>
      <c r="C1105" s="5">
        <v>-3.5477853772721835E-3</v>
      </c>
      <c r="D1105" s="5">
        <v>-3.4843205574912606E-3</v>
      </c>
    </row>
    <row r="1106" spans="1:4" x14ac:dyDescent="0.25">
      <c r="A1106" s="5">
        <v>1.2907191149354569E-2</v>
      </c>
      <c r="B1106" s="5">
        <v>3.2490171352273611E-2</v>
      </c>
      <c r="C1106" s="5">
        <v>-1.6719277639113184E-2</v>
      </c>
      <c r="D1106" s="5">
        <v>-1.4397367338543354E-3</v>
      </c>
    </row>
    <row r="1107" spans="1:4" x14ac:dyDescent="0.25">
      <c r="A1107" s="5">
        <v>-5.2588996763753837E-3</v>
      </c>
      <c r="B1107" s="5">
        <v>-2.9168762123715775E-2</v>
      </c>
      <c r="C1107" s="5">
        <v>4.6661813838033694E-4</v>
      </c>
      <c r="D1107" s="5">
        <v>1.6683831101956814E-2</v>
      </c>
    </row>
    <row r="1108" spans="1:4" x14ac:dyDescent="0.25">
      <c r="A1108" s="5">
        <v>2.745018300121993E-2</v>
      </c>
      <c r="B1108" s="5">
        <v>1.6650632724043435E-2</v>
      </c>
      <c r="C1108" s="5">
        <v>-6.7534793477855848E-3</v>
      </c>
      <c r="D1108" s="5">
        <v>1.0636142625607858E-2</v>
      </c>
    </row>
    <row r="1109" spans="1:4" x14ac:dyDescent="0.25">
      <c r="A1109" s="5">
        <v>-1.5040569958440497E-2</v>
      </c>
      <c r="B1109" s="5">
        <v>2.795166690930273E-2</v>
      </c>
      <c r="C1109" s="5">
        <v>2.0548459804658137E-2</v>
      </c>
      <c r="D1109" s="5">
        <v>2.1048411346096252E-3</v>
      </c>
    </row>
    <row r="1110" spans="1:4" x14ac:dyDescent="0.25">
      <c r="A1110" s="5">
        <v>1.1653606590315446E-2</v>
      </c>
      <c r="B1110" s="5">
        <v>4.9568049851296259E-3</v>
      </c>
      <c r="C1110" s="5">
        <v>-5.7054514668531953E-3</v>
      </c>
      <c r="D1110" s="5">
        <v>-6.3012602520503558E-3</v>
      </c>
    </row>
    <row r="1111" spans="1:4" x14ac:dyDescent="0.25">
      <c r="A1111" s="5">
        <v>-1.3902681231380276E-3</v>
      </c>
      <c r="B1111" s="5">
        <v>-1.3599210822998864E-2</v>
      </c>
      <c r="C1111" s="5">
        <v>3.8501406782169845E-3</v>
      </c>
      <c r="D1111" s="5">
        <v>-1.3990941117262179E-2</v>
      </c>
    </row>
    <row r="1112" spans="1:4" x14ac:dyDescent="0.25">
      <c r="A1112" s="5">
        <v>7.3587907716785583E-3</v>
      </c>
      <c r="B1112" s="5">
        <v>1.235802557325516E-2</v>
      </c>
      <c r="C1112" s="5">
        <v>-1.0326006785661423E-3</v>
      </c>
      <c r="D1112" s="5">
        <v>-5.0020416496528997E-3</v>
      </c>
    </row>
    <row r="1113" spans="1:4" x14ac:dyDescent="0.25">
      <c r="A1113" s="5">
        <v>6.1599210266535032E-2</v>
      </c>
      <c r="B1113" s="5">
        <v>6.4211120519332976E-3</v>
      </c>
      <c r="C1113" s="5">
        <v>5.8143827525103386E-3</v>
      </c>
      <c r="D1113" s="5">
        <v>-2.05191340925448E-4</v>
      </c>
    </row>
    <row r="1114" spans="1:4" x14ac:dyDescent="0.25">
      <c r="A1114" s="5">
        <v>-1.2646457132229894E-2</v>
      </c>
      <c r="B1114" s="5">
        <v>9.324826474093717E-3</v>
      </c>
      <c r="C1114" s="5">
        <v>5.6706612101080633E-3</v>
      </c>
      <c r="D1114" s="5">
        <v>-1.334017444843516E-3</v>
      </c>
    </row>
    <row r="1115" spans="1:4" x14ac:dyDescent="0.25">
      <c r="A1115" s="5">
        <v>2.2603126765869952E-3</v>
      </c>
      <c r="B1115" s="5">
        <v>-7.8494026118366422E-3</v>
      </c>
      <c r="C1115" s="5">
        <v>-6.3868613138684527E-4</v>
      </c>
      <c r="D1115" s="5">
        <v>-1.5618577887381857E-2</v>
      </c>
    </row>
    <row r="1116" spans="1:4" x14ac:dyDescent="0.25">
      <c r="A1116" s="5">
        <v>-1.1276075925578111E-3</v>
      </c>
      <c r="B1116" s="5">
        <v>1.5192886648463189E-2</v>
      </c>
      <c r="C1116" s="5">
        <v>-4.6745183967862314E-3</v>
      </c>
      <c r="D1116" s="5">
        <v>-1.0125260960334059E-2</v>
      </c>
    </row>
    <row r="1117" spans="1:4" x14ac:dyDescent="0.25">
      <c r="A1117" s="5">
        <v>-2.878645343367825E-2</v>
      </c>
      <c r="B1117" s="5">
        <v>-2.0896551724137957E-2</v>
      </c>
      <c r="C1117" s="5">
        <v>1.0218496028178814E-2</v>
      </c>
      <c r="D1117" s="5">
        <v>-4.1126225877886613E-3</v>
      </c>
    </row>
    <row r="1118" spans="1:4" x14ac:dyDescent="0.25">
      <c r="A1118" s="5">
        <v>9.8798915149167499E-3</v>
      </c>
      <c r="B1118" s="5">
        <v>1.9158977248714626E-2</v>
      </c>
      <c r="C1118" s="5">
        <v>1.0714415428758617E-3</v>
      </c>
      <c r="D1118" s="5">
        <v>-1.5883100381194337E-3</v>
      </c>
    </row>
    <row r="1119" spans="1:4" x14ac:dyDescent="0.25">
      <c r="A1119" s="5">
        <v>-1.3427968540188018E-2</v>
      </c>
      <c r="B1119" s="5">
        <v>-3.9394567696454663E-3</v>
      </c>
      <c r="C1119" s="5">
        <v>5.6961451247166117E-3</v>
      </c>
      <c r="D1119" s="5">
        <v>-4.2422314137235961E-4</v>
      </c>
    </row>
    <row r="1120" spans="1:4" x14ac:dyDescent="0.25">
      <c r="A1120" s="5">
        <v>9.9163912113553465E-3</v>
      </c>
      <c r="B1120" s="5">
        <v>9.4365806272551644E-3</v>
      </c>
      <c r="C1120" s="5">
        <v>-2.7597900395028852E-3</v>
      </c>
      <c r="D1120" s="5">
        <v>8.9124668435012211E-3</v>
      </c>
    </row>
    <row r="1121" spans="1:4" x14ac:dyDescent="0.25">
      <c r="A1121" s="5">
        <v>3.0612244897959107E-2</v>
      </c>
      <c r="B1121" s="5">
        <v>-1.1204289249381327E-2</v>
      </c>
      <c r="C1121" s="5">
        <v>3.7803422204536474E-3</v>
      </c>
      <c r="D1121" s="5">
        <v>1.0831843516668327E-2</v>
      </c>
    </row>
    <row r="1122" spans="1:4" x14ac:dyDescent="0.25">
      <c r="A1122" s="5">
        <v>1.7373435456753183E-2</v>
      </c>
      <c r="B1122" s="5">
        <v>2.2245394508169092E-3</v>
      </c>
      <c r="C1122" s="5">
        <v>-1.113613839084604E-2</v>
      </c>
      <c r="D1122" s="5">
        <v>1.8206408655846884E-2</v>
      </c>
    </row>
    <row r="1123" spans="1:4" x14ac:dyDescent="0.25">
      <c r="A1123" s="5">
        <v>-1.6709511568123392E-2</v>
      </c>
      <c r="B1123" s="5">
        <v>2.5872234167996222E-2</v>
      </c>
      <c r="C1123" s="5">
        <v>9.6579623521693136E-3</v>
      </c>
      <c r="D1123" s="5">
        <v>1.328292633084649E-3</v>
      </c>
    </row>
    <row r="1124" spans="1:4" x14ac:dyDescent="0.25">
      <c r="A1124" s="5">
        <v>-7.4696545284780314E-4</v>
      </c>
      <c r="B1124" s="5">
        <v>4.3340094658553152E-2</v>
      </c>
      <c r="C1124" s="5">
        <v>-8.5187792156226072E-3</v>
      </c>
      <c r="D1124" s="5">
        <v>-7.5510204081632448E-3</v>
      </c>
    </row>
    <row r="1125" spans="1:4" x14ac:dyDescent="0.25">
      <c r="A1125" s="5">
        <v>-9.5309287983554869E-3</v>
      </c>
      <c r="B1125" s="5">
        <v>4.6011276002850821E-3</v>
      </c>
      <c r="C1125" s="5">
        <v>-2.0023664330570679E-4</v>
      </c>
      <c r="D1125" s="5">
        <v>-1.2749331688258314E-2</v>
      </c>
    </row>
    <row r="1126" spans="1:4" x14ac:dyDescent="0.25">
      <c r="A1126" s="5">
        <v>-1.3396226415094303E-2</v>
      </c>
      <c r="B1126" s="5">
        <v>1.7610630886337297E-2</v>
      </c>
      <c r="C1126" s="5">
        <v>-2.7674604908600742E-3</v>
      </c>
      <c r="D1126" s="5">
        <v>1.3018121224744883E-2</v>
      </c>
    </row>
    <row r="1127" spans="1:4" x14ac:dyDescent="0.25">
      <c r="A1127" s="5">
        <v>1.5681774717919206E-2</v>
      </c>
      <c r="B1127" s="5">
        <v>1.5213946117274002E-3</v>
      </c>
      <c r="C1127" s="5">
        <v>1.0297232162418846E-2</v>
      </c>
      <c r="D1127" s="5">
        <v>5.2431376580652778E-3</v>
      </c>
    </row>
    <row r="1128" spans="1:4" x14ac:dyDescent="0.25">
      <c r="A1128" s="5">
        <v>-2.353605723969121E-2</v>
      </c>
      <c r="B1128" s="5">
        <v>-2.9685423128046118E-2</v>
      </c>
      <c r="C1128" s="5">
        <v>1.0987422292901616E-2</v>
      </c>
      <c r="D1128" s="5">
        <v>4.7044385354877427E-3</v>
      </c>
    </row>
    <row r="1129" spans="1:4" x14ac:dyDescent="0.25">
      <c r="A1129" s="5">
        <v>1.1569610489781113E-3</v>
      </c>
      <c r="B1129" s="5">
        <v>2.5766470971950506E-2</v>
      </c>
      <c r="C1129" s="5">
        <v>5.0050050050054473E-4</v>
      </c>
      <c r="D1129" s="5">
        <v>-6.4128664495114451E-3</v>
      </c>
    </row>
    <row r="1130" spans="1:4" x14ac:dyDescent="0.25">
      <c r="A1130" s="5">
        <v>1.3482280431432958E-2</v>
      </c>
      <c r="B1130" s="5">
        <v>1.329093799682024E-2</v>
      </c>
      <c r="C1130" s="5">
        <v>7.9146716215250379E-3</v>
      </c>
      <c r="D1130" s="5">
        <v>7.683638971416773E-3</v>
      </c>
    </row>
    <row r="1131" spans="1:4" x14ac:dyDescent="0.25">
      <c r="A1131" s="5">
        <v>-3.5917901938426477E-2</v>
      </c>
      <c r="B1131" s="5">
        <v>-6.9034768419731218E-3</v>
      </c>
      <c r="C1131" s="5">
        <v>4.9632190020385547E-3</v>
      </c>
      <c r="D1131" s="5">
        <v>1.0065067100447411E-2</v>
      </c>
    </row>
    <row r="1132" spans="1:4" x14ac:dyDescent="0.25">
      <c r="A1132" s="5">
        <v>2.621722846441954E-2</v>
      </c>
      <c r="B1132" s="5">
        <v>1.1122345803842304E-2</v>
      </c>
      <c r="C1132" s="5">
        <v>1.9049298879971754E-3</v>
      </c>
      <c r="D1132" s="5">
        <v>-2.2747861097131339E-2</v>
      </c>
    </row>
    <row r="1133" spans="1:4" x14ac:dyDescent="0.25">
      <c r="A1133" s="5">
        <v>-3.8417210910490773E-4</v>
      </c>
      <c r="B1133" s="5">
        <v>1.8000000000000016E-2</v>
      </c>
      <c r="C1133" s="5">
        <v>-4.5772230339946596E-4</v>
      </c>
      <c r="D1133" s="5">
        <v>-2.8839221341023791E-3</v>
      </c>
    </row>
    <row r="1134" spans="1:4" x14ac:dyDescent="0.25">
      <c r="A1134" s="5">
        <v>1.1913912375095981E-2</v>
      </c>
      <c r="B1134" s="5">
        <v>7.4901768172888072E-3</v>
      </c>
      <c r="C1134" s="5">
        <v>4.4384169646158877E-3</v>
      </c>
      <c r="D1134" s="5">
        <v>-2.0142547257514742E-2</v>
      </c>
    </row>
    <row r="1135" spans="1:4" x14ac:dyDescent="0.25">
      <c r="A1135" s="5">
        <v>4.747436384352488E-3</v>
      </c>
      <c r="B1135" s="5">
        <v>4.9969530773918969E-3</v>
      </c>
      <c r="C1135" s="5">
        <v>8.6447246137930644E-3</v>
      </c>
      <c r="D1135" s="5">
        <v>-4.8492515285684101E-3</v>
      </c>
    </row>
    <row r="1136" spans="1:4" x14ac:dyDescent="0.25">
      <c r="A1136" s="5">
        <v>4.9140049140048436E-3</v>
      </c>
      <c r="B1136" s="5">
        <v>-5.1540140674266599E-3</v>
      </c>
      <c r="C1136" s="5">
        <v>-8.0143249539306183E-3</v>
      </c>
      <c r="D1136" s="5">
        <v>1.4618644067796671E-2</v>
      </c>
    </row>
    <row r="1137" spans="1:4" x14ac:dyDescent="0.25">
      <c r="A1137" s="5">
        <v>-4.4762083881888293E-2</v>
      </c>
      <c r="B1137" s="5">
        <v>4.0409581276284579E-2</v>
      </c>
      <c r="C1137" s="5">
        <v>-6.6595397907498466E-4</v>
      </c>
      <c r="D1137" s="5">
        <v>-4.0718312800167578E-3</v>
      </c>
    </row>
    <row r="1138" spans="1:4" x14ac:dyDescent="0.25">
      <c r="A1138" s="5">
        <v>1.3979129749950747E-2</v>
      </c>
      <c r="B1138" s="5">
        <v>3.9250146455769297E-3</v>
      </c>
      <c r="C1138" s="5">
        <v>5.9274327902776314E-3</v>
      </c>
      <c r="D1138" s="5">
        <v>-2.5159870007338547E-3</v>
      </c>
    </row>
    <row r="1139" spans="1:4" x14ac:dyDescent="0.25">
      <c r="A1139" s="5">
        <v>7.7669902912620437E-3</v>
      </c>
      <c r="B1139" s="5">
        <v>9.5115831242340576E-3</v>
      </c>
      <c r="C1139" s="5">
        <v>2.9288192325795936E-3</v>
      </c>
      <c r="D1139" s="5">
        <v>-6.3058328954279652E-4</v>
      </c>
    </row>
    <row r="1140" spans="1:4" x14ac:dyDescent="0.25">
      <c r="A1140" s="5">
        <v>1.0019267822735989E-2</v>
      </c>
      <c r="B1140" s="5">
        <v>-3.4104046242774411E-3</v>
      </c>
      <c r="C1140" s="5">
        <v>-3.5981852630847522E-3</v>
      </c>
      <c r="D1140" s="5">
        <v>-4.2065411715219714E-4</v>
      </c>
    </row>
    <row r="1141" spans="1:4" x14ac:dyDescent="0.25">
      <c r="A1141" s="5">
        <v>5.7230064860736007E-4</v>
      </c>
      <c r="B1141" s="5">
        <v>-5.9741314308914273E-3</v>
      </c>
      <c r="C1141" s="5">
        <v>1.9713199120756641E-3</v>
      </c>
      <c r="D1141" s="5">
        <v>6.522882693319243E-3</v>
      </c>
    </row>
    <row r="1142" spans="1:4" x14ac:dyDescent="0.25">
      <c r="A1142" s="5">
        <v>-1.5824594852240192E-2</v>
      </c>
      <c r="B1142" s="5">
        <v>-2.5382191620959227E-2</v>
      </c>
      <c r="C1142" s="5">
        <v>-4.3353355967615803E-3</v>
      </c>
      <c r="D1142" s="5">
        <v>1.8814675446847673E-3</v>
      </c>
    </row>
    <row r="1143" spans="1:4" x14ac:dyDescent="0.25">
      <c r="A1143" s="5">
        <v>3.8744672607515795E-3</v>
      </c>
      <c r="B1143" s="5">
        <v>2.2451056696401794E-2</v>
      </c>
      <c r="C1143" s="5">
        <v>3.2875179239673091E-3</v>
      </c>
      <c r="D1143" s="5">
        <v>-1.7736045905060172E-3</v>
      </c>
    </row>
    <row r="1144" spans="1:4" x14ac:dyDescent="0.25">
      <c r="A1144" s="5">
        <v>-1.1192589733693525E-2</v>
      </c>
      <c r="B1144" s="5">
        <v>1.73322403091698E-2</v>
      </c>
      <c r="C1144" s="5">
        <v>5.9957472025655711E-3</v>
      </c>
      <c r="D1144" s="5">
        <v>9.6153846153845812E-3</v>
      </c>
    </row>
    <row r="1145" spans="1:4" x14ac:dyDescent="0.25">
      <c r="A1145" s="5">
        <v>-2.1467603434816018E-3</v>
      </c>
      <c r="B1145" s="5">
        <v>-1.3813744675952311E-3</v>
      </c>
      <c r="C1145" s="5">
        <v>-4.5046605911502891E-4</v>
      </c>
      <c r="D1145" s="5">
        <v>9.006211180124124E-3</v>
      </c>
    </row>
    <row r="1146" spans="1:4" x14ac:dyDescent="0.25">
      <c r="A1146" s="5">
        <v>3.6964600039115947E-2</v>
      </c>
      <c r="B1146" s="5">
        <v>1.8731988472622474E-2</v>
      </c>
      <c r="C1146" s="5">
        <v>1.7853428551619643E-3</v>
      </c>
      <c r="D1146" s="5">
        <v>1.4363393864778029E-3</v>
      </c>
    </row>
    <row r="1147" spans="1:4" x14ac:dyDescent="0.25">
      <c r="A1147" s="5">
        <v>2.7536778574122955E-2</v>
      </c>
      <c r="B1147" s="5">
        <v>-7.0155586987270535E-3</v>
      </c>
      <c r="C1147" s="5">
        <v>0</v>
      </c>
      <c r="D1147" s="5">
        <v>7.3762934125602975E-3</v>
      </c>
    </row>
    <row r="1148" spans="1:4" x14ac:dyDescent="0.25">
      <c r="A1148" s="5">
        <v>-1.1747430249632873E-2</v>
      </c>
      <c r="B1148" s="5">
        <v>2.1423280724744975E-2</v>
      </c>
      <c r="C1148" s="5">
        <v>8.4955445972834109E-3</v>
      </c>
      <c r="D1148" s="5">
        <v>-7.5256788365707372E-3</v>
      </c>
    </row>
    <row r="1149" spans="1:4" x14ac:dyDescent="0.25">
      <c r="A1149" s="5">
        <v>-9.4725111441307241E-3</v>
      </c>
      <c r="B1149" s="5">
        <v>-7.8094494338148968E-3</v>
      </c>
      <c r="C1149" s="5">
        <v>6.8627114572961112E-4</v>
      </c>
      <c r="D1149" s="5">
        <v>3.9963110974485794E-3</v>
      </c>
    </row>
    <row r="1150" spans="1:4" x14ac:dyDescent="0.25">
      <c r="A1150" s="5">
        <v>1.1813238327395448E-2</v>
      </c>
      <c r="B1150" s="5">
        <v>-2.3331646708270037E-2</v>
      </c>
      <c r="C1150" s="5">
        <v>3.9776429036793015E-3</v>
      </c>
      <c r="D1150" s="5">
        <v>5.2051439069198402E-3</v>
      </c>
    </row>
    <row r="1151" spans="1:4" x14ac:dyDescent="0.25">
      <c r="A1151" s="5">
        <v>-2.5389177168272825E-2</v>
      </c>
      <c r="B1151" s="5">
        <v>3.6150126640571045E-2</v>
      </c>
      <c r="C1151" s="5">
        <v>-2.39079203524728E-4</v>
      </c>
      <c r="D1151" s="5">
        <v>1.1168646563102902E-2</v>
      </c>
    </row>
    <row r="1152" spans="1:4" x14ac:dyDescent="0.25">
      <c r="A1152" s="5">
        <v>1.2549914432401499E-2</v>
      </c>
      <c r="B1152" s="5">
        <v>-9.6666666666667123E-3</v>
      </c>
      <c r="C1152" s="5">
        <v>-2.5963377972123558E-3</v>
      </c>
      <c r="D1152" s="5">
        <v>-2.8115272617732501E-3</v>
      </c>
    </row>
    <row r="1153" spans="1:4" x14ac:dyDescent="0.25">
      <c r="A1153" s="5">
        <v>-2.7605633802816887E-2</v>
      </c>
      <c r="B1153" s="5">
        <v>6.5073488163356341E-3</v>
      </c>
      <c r="C1153" s="5">
        <v>-1.2159199890395822E-3</v>
      </c>
      <c r="D1153" s="5">
        <v>4.0781391602054073E-2</v>
      </c>
    </row>
    <row r="1154" spans="1:4" x14ac:dyDescent="0.25">
      <c r="A1154" s="5">
        <v>-2.7037466203166938E-3</v>
      </c>
      <c r="B1154" s="5">
        <v>7.5242447887637898E-3</v>
      </c>
      <c r="C1154" s="5">
        <v>-3.7550796454107749E-3</v>
      </c>
      <c r="D1154" s="5">
        <v>-2.3219814241486336E-3</v>
      </c>
    </row>
    <row r="1155" spans="1:4" x14ac:dyDescent="0.25">
      <c r="A1155" s="5">
        <v>1.5685515104570058E-2</v>
      </c>
      <c r="B1155" s="5">
        <v>1.067655031255188E-2</v>
      </c>
      <c r="C1155" s="5">
        <v>-1.6471033699356319E-2</v>
      </c>
      <c r="D1155" s="5">
        <v>5.9154383242823183E-3</v>
      </c>
    </row>
    <row r="1156" spans="1:4" x14ac:dyDescent="0.25">
      <c r="A1156" s="5">
        <v>4.7473784556720577E-2</v>
      </c>
      <c r="B1156" s="5">
        <v>-3.5030103995621342E-3</v>
      </c>
      <c r="C1156" s="5">
        <v>1.5206929740134711E-2</v>
      </c>
      <c r="D1156" s="5">
        <v>1.9280825219318842E-3</v>
      </c>
    </row>
    <row r="1157" spans="1:4" x14ac:dyDescent="0.25">
      <c r="A1157" s="5">
        <v>2.7666545322169611E-2</v>
      </c>
      <c r="B1157" s="5">
        <v>6.0419641876303665E-3</v>
      </c>
      <c r="C1157" s="5">
        <v>-4.8091839900713529E-3</v>
      </c>
      <c r="D1157" s="5">
        <v>-2.9827768690464662E-3</v>
      </c>
    </row>
    <row r="1158" spans="1:4" x14ac:dyDescent="0.25">
      <c r="A1158" s="5">
        <v>1.6471838469713118E-2</v>
      </c>
      <c r="B1158" s="5">
        <v>-8.5717405547062198E-3</v>
      </c>
      <c r="C1158" s="5">
        <v>7.4305014289426374E-3</v>
      </c>
      <c r="D1158" s="5">
        <v>-2.5381200540436244E-2</v>
      </c>
    </row>
    <row r="1159" spans="1:4" x14ac:dyDescent="0.25">
      <c r="A1159" s="5">
        <v>9.5835511413138175E-3</v>
      </c>
      <c r="B1159" s="5">
        <v>2.367971804614788E-3</v>
      </c>
      <c r="C1159" s="5">
        <v>-6.0174678495283906E-4</v>
      </c>
      <c r="D1159" s="5">
        <v>-1.386275868897946E-3</v>
      </c>
    </row>
    <row r="1160" spans="1:4" x14ac:dyDescent="0.25">
      <c r="A1160" s="5">
        <v>2.0711080428028605E-3</v>
      </c>
      <c r="B1160" s="5">
        <v>-8.625425777387119E-3</v>
      </c>
      <c r="C1160" s="5">
        <v>7.6553871561526599E-3</v>
      </c>
      <c r="D1160" s="5">
        <v>-8.4283589489340116E-3</v>
      </c>
    </row>
    <row r="1161" spans="1:4" x14ac:dyDescent="0.25">
      <c r="A1161" s="5">
        <v>-6.3727178780571547E-3</v>
      </c>
      <c r="B1161" s="5">
        <v>8.6450540315876623E-3</v>
      </c>
      <c r="C1161" s="5">
        <v>-2.0486905452931081E-3</v>
      </c>
      <c r="D1161" s="5">
        <v>6.9999999999998952E-3</v>
      </c>
    </row>
    <row r="1162" spans="1:4" x14ac:dyDescent="0.25">
      <c r="A1162" s="5">
        <v>9.0136938810885248E-3</v>
      </c>
      <c r="B1162" s="5">
        <v>-3.4998077028734698E-2</v>
      </c>
      <c r="C1162" s="5">
        <v>1.0675060731515362E-2</v>
      </c>
      <c r="D1162" s="5">
        <v>5.8589870903673624E-3</v>
      </c>
    </row>
    <row r="1163" spans="1:4" x14ac:dyDescent="0.25">
      <c r="A1163" s="5">
        <v>-2.4050850369352617E-3</v>
      </c>
      <c r="B1163" s="5">
        <v>-1.3664313368253467E-3</v>
      </c>
      <c r="C1163" s="5">
        <v>3.4869156031009929E-3</v>
      </c>
      <c r="D1163" s="5">
        <v>1.2636982920327666E-2</v>
      </c>
    </row>
    <row r="1164" spans="1:4" x14ac:dyDescent="0.25">
      <c r="A1164" s="5">
        <v>-6.3716204580678282E-3</v>
      </c>
      <c r="B1164" s="5">
        <v>-2.3945267958951355E-3</v>
      </c>
      <c r="C1164" s="5">
        <v>1.6867957627786367E-5</v>
      </c>
      <c r="D1164" s="5">
        <v>-4.494491566734915E-2</v>
      </c>
    </row>
    <row r="1165" spans="1:4" x14ac:dyDescent="0.25">
      <c r="A1165" s="5">
        <v>1.0051993067591081E-2</v>
      </c>
      <c r="B1165" s="5">
        <v>1.7201965938964392E-2</v>
      </c>
      <c r="C1165" s="5">
        <v>-2.1590621573753799E-3</v>
      </c>
      <c r="D1165" s="5">
        <v>-1.153532053899553E-2</v>
      </c>
    </row>
    <row r="1166" spans="1:4" x14ac:dyDescent="0.25">
      <c r="A1166" s="5">
        <v>-3.0885380919698502E-3</v>
      </c>
      <c r="B1166" s="5">
        <v>1.0225293555817805E-2</v>
      </c>
      <c r="C1166" s="5">
        <v>-3.5498757543483972E-4</v>
      </c>
      <c r="D1166" s="5">
        <v>-7.848807187854967E-3</v>
      </c>
    </row>
    <row r="1167" spans="1:4" x14ac:dyDescent="0.25">
      <c r="A1167" s="5">
        <v>-2.5817555938037917E-2</v>
      </c>
      <c r="B1167" s="5">
        <v>1.0900394861242502E-2</v>
      </c>
      <c r="C1167" s="5">
        <v>-5.4619859307358798E-3</v>
      </c>
      <c r="D1167" s="5">
        <v>-2.081815342979132E-4</v>
      </c>
    </row>
    <row r="1168" spans="1:4" x14ac:dyDescent="0.25">
      <c r="A1168" s="5">
        <v>3.0388692579505383E-2</v>
      </c>
      <c r="B1168" s="5">
        <v>-9.3524784067777755E-4</v>
      </c>
      <c r="C1168" s="5">
        <v>-2.635471749443119E-3</v>
      </c>
      <c r="D1168" s="5">
        <v>3.1233732431035222E-4</v>
      </c>
    </row>
    <row r="1169" spans="1:4" x14ac:dyDescent="0.25">
      <c r="A1169" s="5">
        <v>1.6632373113854682E-2</v>
      </c>
      <c r="B1169" s="5">
        <v>-7.8744493392070014E-3</v>
      </c>
      <c r="C1169" s="5">
        <v>-3.9380817620784381E-3</v>
      </c>
      <c r="D1169" s="5">
        <v>3.1223980016648056E-4</v>
      </c>
    </row>
    <row r="1170" spans="1:4" x14ac:dyDescent="0.25">
      <c r="A1170" s="5">
        <v>1.5010963062911165E-2</v>
      </c>
      <c r="B1170" s="5">
        <v>-3.3246378420380807E-2</v>
      </c>
      <c r="C1170" s="5">
        <v>1.5301145018570272E-2</v>
      </c>
      <c r="D1170" s="5">
        <v>9.0521277702633185E-3</v>
      </c>
    </row>
    <row r="1171" spans="1:4" x14ac:dyDescent="0.25">
      <c r="A1171" s="5">
        <v>1.3293452974409981E-3</v>
      </c>
      <c r="B1171" s="5">
        <v>-1.952003674359859E-2</v>
      </c>
      <c r="C1171" s="5">
        <v>-4.2312166012036245E-3</v>
      </c>
      <c r="D1171" s="5">
        <v>8.9709218395546131E-3</v>
      </c>
    </row>
    <row r="1172" spans="1:4" x14ac:dyDescent="0.25">
      <c r="A1172" s="5">
        <v>2.2236973116495085E-2</v>
      </c>
      <c r="B1172" s="5">
        <v>-9.3687785454976691E-4</v>
      </c>
      <c r="C1172" s="5">
        <v>3.9952598611816548E-3</v>
      </c>
      <c r="D1172" s="5">
        <v>1.6249361267245854E-2</v>
      </c>
    </row>
    <row r="1173" spans="1:4" x14ac:dyDescent="0.25">
      <c r="A1173" s="5">
        <v>-1.9480519480519209E-3</v>
      </c>
      <c r="B1173" s="5">
        <v>6.0954167155080619E-3</v>
      </c>
      <c r="C1173" s="5">
        <v>2.2931912454051684E-3</v>
      </c>
      <c r="D1173" s="5">
        <v>1.4983909895414316E-2</v>
      </c>
    </row>
    <row r="1174" spans="1:4" x14ac:dyDescent="0.25">
      <c r="A1174" s="5">
        <v>-2.4398178269355864E-3</v>
      </c>
      <c r="B1174" s="5">
        <v>-2.7030175929162348E-2</v>
      </c>
      <c r="C1174" s="5">
        <v>3.5328555566771502E-3</v>
      </c>
      <c r="D1174" s="5">
        <v>-4.1612999108292525E-3</v>
      </c>
    </row>
    <row r="1175" spans="1:4" x14ac:dyDescent="0.25">
      <c r="A1175" s="5">
        <v>3.0001630523398104E-2</v>
      </c>
      <c r="B1175" s="5">
        <v>7.7236259130644136E-3</v>
      </c>
      <c r="C1175" s="5">
        <v>-5.7667806611680916E-3</v>
      </c>
      <c r="D1175" s="5">
        <v>1.7610188040990904E-2</v>
      </c>
    </row>
    <row r="1176" spans="1:4" x14ac:dyDescent="0.25">
      <c r="A1176" s="5">
        <v>2.5803387684027124E-2</v>
      </c>
      <c r="B1176" s="5">
        <v>1.4556473174499374E-2</v>
      </c>
      <c r="C1176" s="5">
        <v>-7.3683145612734036E-3</v>
      </c>
      <c r="D1176" s="5">
        <v>9.7770825185694576E-5</v>
      </c>
    </row>
    <row r="1177" spans="1:4" x14ac:dyDescent="0.25">
      <c r="A1177" s="5">
        <v>6.1728395061728669E-3</v>
      </c>
      <c r="B1177" s="5">
        <v>3.8475052705551738E-2</v>
      </c>
      <c r="C1177" s="5">
        <v>5.11287391075399E-3</v>
      </c>
      <c r="D1177" s="5">
        <v>-1.8379118193371791E-2</v>
      </c>
    </row>
    <row r="1178" spans="1:4" x14ac:dyDescent="0.25">
      <c r="A1178" s="5">
        <v>-9.6625766871165641E-3</v>
      </c>
      <c r="B1178" s="5">
        <v>-9.0227259910902191E-4</v>
      </c>
      <c r="C1178" s="5">
        <v>8.2302440343404726E-3</v>
      </c>
      <c r="D1178" s="5">
        <v>2.2308535006473562E-2</v>
      </c>
    </row>
    <row r="1179" spans="1:4" x14ac:dyDescent="0.25">
      <c r="A1179" s="5">
        <v>2.7412110887409025E-2</v>
      </c>
      <c r="B1179" s="5">
        <v>3.6687926849918728E-3</v>
      </c>
      <c r="C1179" s="5">
        <v>-2.7321946395346686E-3</v>
      </c>
      <c r="D1179" s="5">
        <v>8.1831466147102017E-3</v>
      </c>
    </row>
    <row r="1180" spans="1:4" x14ac:dyDescent="0.25">
      <c r="A1180" s="5">
        <v>1.3566475731082273E-2</v>
      </c>
      <c r="B1180" s="5">
        <v>-3.936565065797426E-4</v>
      </c>
      <c r="C1180" s="5">
        <v>2.5884093048271772E-3</v>
      </c>
      <c r="D1180" s="5">
        <v>1.9325538699390687E-3</v>
      </c>
    </row>
    <row r="1181" spans="1:4" x14ac:dyDescent="0.25">
      <c r="A1181" s="5">
        <v>-5.8001189767995509E-3</v>
      </c>
      <c r="B1181" s="5">
        <v>-1.6146272855133592E-2</v>
      </c>
      <c r="C1181" s="5">
        <v>2.4308466051969901E-3</v>
      </c>
      <c r="D1181" s="5">
        <v>-2.6039155174076845E-3</v>
      </c>
    </row>
    <row r="1182" spans="1:4" x14ac:dyDescent="0.25">
      <c r="A1182" s="5">
        <v>2.4682124158563967E-2</v>
      </c>
      <c r="B1182" s="5">
        <v>-2.6246569075937809E-2</v>
      </c>
      <c r="C1182" s="5">
        <v>2.8932184965297925E-3</v>
      </c>
      <c r="D1182" s="5">
        <v>8.218913169599773E-3</v>
      </c>
    </row>
    <row r="1183" spans="1:4" x14ac:dyDescent="0.25">
      <c r="A1183" s="5">
        <v>1.8394160583941499E-2</v>
      </c>
      <c r="B1183" s="5">
        <v>3.4940395795407753E-2</v>
      </c>
      <c r="C1183" s="5">
        <v>8.1543489861259921E-3</v>
      </c>
      <c r="D1183" s="5">
        <v>-6.4256257792270066E-3</v>
      </c>
    </row>
    <row r="1184" spans="1:4" x14ac:dyDescent="0.25">
      <c r="A1184" s="5">
        <v>-1.4334862385323444E-4</v>
      </c>
      <c r="B1184" s="5">
        <v>2.4398547435315887E-3</v>
      </c>
      <c r="C1184" s="5">
        <v>-2.1502886348978567E-4</v>
      </c>
      <c r="D1184" s="5">
        <v>-1.2258687258687284E-2</v>
      </c>
    </row>
    <row r="1185" spans="1:4" x14ac:dyDescent="0.25">
      <c r="A1185" s="5">
        <v>1.0465949820788634E-2</v>
      </c>
      <c r="B1185" s="5">
        <v>3.9282277692873624E-2</v>
      </c>
      <c r="C1185" s="5">
        <v>5.2114353782013456E-3</v>
      </c>
      <c r="D1185" s="5">
        <v>4.7884295905404883E-3</v>
      </c>
    </row>
    <row r="1186" spans="1:4" x14ac:dyDescent="0.25">
      <c r="A1186" s="5">
        <v>-2.0715096481271233E-2</v>
      </c>
      <c r="B1186" s="5">
        <v>-2.8211971025543292E-2</v>
      </c>
      <c r="C1186" s="5">
        <v>-1.3166773646702268E-3</v>
      </c>
      <c r="D1186" s="5">
        <v>-2.917720287881731E-3</v>
      </c>
    </row>
    <row r="1187" spans="1:4" x14ac:dyDescent="0.25">
      <c r="A1187" s="5">
        <v>-5.2158794552303878E-3</v>
      </c>
      <c r="B1187" s="5">
        <v>-8.1824805245754861E-3</v>
      </c>
      <c r="C1187" s="5">
        <v>-1.1536116284052156E-3</v>
      </c>
      <c r="D1187" s="5">
        <v>2.0483808037456974E-3</v>
      </c>
    </row>
    <row r="1188" spans="1:4" x14ac:dyDescent="0.25">
      <c r="A1188" s="5">
        <v>1.8933877075444361E-3</v>
      </c>
      <c r="B1188" s="5">
        <v>4.0684861840989406E-3</v>
      </c>
      <c r="C1188" s="5">
        <v>4.7022719398108759E-3</v>
      </c>
      <c r="D1188" s="5">
        <v>3.1149615496932626E-3</v>
      </c>
    </row>
    <row r="1189" spans="1:4" x14ac:dyDescent="0.25">
      <c r="A1189" s="5">
        <v>5.1897078063672053E-2</v>
      </c>
      <c r="B1189" s="5">
        <v>2.8138893578704138E-3</v>
      </c>
      <c r="C1189" s="5">
        <v>4.6638420862481489E-3</v>
      </c>
      <c r="D1189" s="5">
        <v>1.067442988840428E-3</v>
      </c>
    </row>
    <row r="1190" spans="1:4" x14ac:dyDescent="0.25">
      <c r="A1190" s="5">
        <v>2.7224986180210076E-2</v>
      </c>
      <c r="B1190" s="5">
        <v>2.0539873169089118E-2</v>
      </c>
      <c r="C1190" s="5">
        <v>4.8710320703519994E-3</v>
      </c>
      <c r="D1190" s="5">
        <v>-7.7549437766577523E-4</v>
      </c>
    </row>
    <row r="1191" spans="1:4" x14ac:dyDescent="0.25">
      <c r="A1191" s="5">
        <v>-1.3453518094981298E-3</v>
      </c>
      <c r="B1191" s="5">
        <v>2.6010448171569944E-2</v>
      </c>
      <c r="C1191" s="5">
        <v>-5.2378163836294123E-3</v>
      </c>
      <c r="D1191" s="5">
        <v>-1.9402405898327757E-4</v>
      </c>
    </row>
    <row r="1192" spans="1:4" x14ac:dyDescent="0.25">
      <c r="A1192" s="5">
        <v>-2.5730836588980233E-2</v>
      </c>
      <c r="B1192" s="5">
        <v>3.5373566298637638E-3</v>
      </c>
      <c r="C1192" s="5">
        <v>-3.3358406645518368E-3</v>
      </c>
      <c r="D1192" s="5">
        <v>-1.0673394139336323E-2</v>
      </c>
    </row>
    <row r="1193" spans="1:4" x14ac:dyDescent="0.25">
      <c r="A1193" s="5">
        <v>1.1200221238938157E-2</v>
      </c>
      <c r="B1193" s="5">
        <v>8.8122196111941609E-3</v>
      </c>
      <c r="C1193" s="5">
        <v>-4.774405250205116E-3</v>
      </c>
      <c r="D1193" s="5">
        <v>-2.5500196155354704E-3</v>
      </c>
    </row>
    <row r="1194" spans="1:4" x14ac:dyDescent="0.25">
      <c r="A1194" s="5">
        <v>2.1195131956789348E-2</v>
      </c>
      <c r="B1194" s="5">
        <v>-6.723489861824361E-3</v>
      </c>
      <c r="C1194" s="5">
        <v>5.8853591387921789E-3</v>
      </c>
      <c r="D1194" s="5">
        <v>3.6381514257619596E-3</v>
      </c>
    </row>
    <row r="1195" spans="1:4" x14ac:dyDescent="0.25">
      <c r="A1195" s="5">
        <v>1.3926084627745139E-2</v>
      </c>
      <c r="B1195" s="5">
        <v>-1.1086238140923133E-2</v>
      </c>
      <c r="C1195" s="5">
        <v>-4.9167431493413183E-5</v>
      </c>
      <c r="D1195" s="5">
        <v>6.1722347408641465E-3</v>
      </c>
    </row>
    <row r="1196" spans="1:4" x14ac:dyDescent="0.25">
      <c r="A1196" s="5">
        <v>8.9804543053353392E-3</v>
      </c>
      <c r="B1196" s="5">
        <v>-2.6948366928963852E-3</v>
      </c>
      <c r="C1196" s="5">
        <v>3.6877386786422495E-3</v>
      </c>
      <c r="D1196" s="5">
        <v>5.2580331061342633E-3</v>
      </c>
    </row>
    <row r="1197" spans="1:4" x14ac:dyDescent="0.25">
      <c r="A1197" s="5">
        <v>9.5549738219895541E-3</v>
      </c>
      <c r="B1197" s="5">
        <v>2.1995244271508785E-2</v>
      </c>
      <c r="C1197" s="5">
        <v>3.576210849472572E-3</v>
      </c>
      <c r="D1197" s="5">
        <v>-3.2932971716389536E-3</v>
      </c>
    </row>
    <row r="1198" spans="1:4" x14ac:dyDescent="0.25">
      <c r="A1198" s="5">
        <v>-3.88953714507978E-4</v>
      </c>
      <c r="B1198" s="5">
        <v>1.8296229707577494E-2</v>
      </c>
      <c r="C1198" s="5">
        <v>1.1064646826235425E-3</v>
      </c>
      <c r="D1198" s="5">
        <v>-1.0981535471331405E-2</v>
      </c>
    </row>
    <row r="1199" spans="1:4" x14ac:dyDescent="0.25">
      <c r="A1199" s="5">
        <v>-2.5940337224383825E-4</v>
      </c>
      <c r="B1199" s="5">
        <v>-4.8865347665783876E-2</v>
      </c>
      <c r="C1199" s="5">
        <v>8.1267777326310409E-5</v>
      </c>
      <c r="D1199" s="5">
        <v>6.8782548884738226E-4</v>
      </c>
    </row>
    <row r="1200" spans="1:4" x14ac:dyDescent="0.25">
      <c r="A1200" s="5">
        <v>1.9849507005708311E-2</v>
      </c>
      <c r="B1200" s="5">
        <v>2.8172089975977199E-2</v>
      </c>
      <c r="C1200" s="5">
        <v>3.4129692832765013E-3</v>
      </c>
      <c r="D1200" s="5">
        <v>2.74941084053415E-3</v>
      </c>
    </row>
    <row r="1201" spans="1:4" x14ac:dyDescent="0.25">
      <c r="A1201" s="5">
        <v>-2.0862485688843635E-2</v>
      </c>
      <c r="B1201" s="5">
        <v>-4.4020815632965116E-2</v>
      </c>
      <c r="C1201" s="5">
        <v>-3.5633300939423851E-3</v>
      </c>
      <c r="D1201" s="5">
        <v>4.9843321582452083E-2</v>
      </c>
    </row>
    <row r="1202" spans="1:4" x14ac:dyDescent="0.25">
      <c r="A1202" s="5">
        <v>2.8322723138885175E-2</v>
      </c>
      <c r="B1202" s="5">
        <v>-1.1109259567849694E-3</v>
      </c>
      <c r="C1202" s="5">
        <v>5.8029908972692112E-3</v>
      </c>
      <c r="D1202" s="5">
        <v>1.6976028355563777E-2</v>
      </c>
    </row>
    <row r="1203" spans="1:4" x14ac:dyDescent="0.25">
      <c r="A1203" s="5">
        <v>-4.4725205306380245E-2</v>
      </c>
      <c r="B1203" s="5">
        <v>1.1010398709892621E-2</v>
      </c>
      <c r="C1203" s="5">
        <v>-2.6989026617321166E-3</v>
      </c>
      <c r="D1203" s="5">
        <v>-2.3479776208383041E-2</v>
      </c>
    </row>
    <row r="1204" spans="1:4" x14ac:dyDescent="0.25">
      <c r="A1204" s="5">
        <v>2.2483798439358882E-3</v>
      </c>
      <c r="B1204" s="5">
        <v>7.7553489907045137E-3</v>
      </c>
      <c r="C1204" s="5">
        <v>-2.688381137578999E-2</v>
      </c>
      <c r="D1204" s="5">
        <v>1.1834319526627279E-2</v>
      </c>
    </row>
    <row r="1205" spans="1:4" x14ac:dyDescent="0.25">
      <c r="A1205" s="5">
        <v>4.7373977302718417E-2</v>
      </c>
      <c r="B1205" s="5">
        <v>-3.1655932758432037E-3</v>
      </c>
      <c r="C1205" s="5">
        <v>1.5153785948610388E-2</v>
      </c>
      <c r="D1205" s="5">
        <v>-6.3120764875150837E-3</v>
      </c>
    </row>
    <row r="1206" spans="1:4" x14ac:dyDescent="0.25">
      <c r="A1206" s="5">
        <v>-1.1591281340556869E-2</v>
      </c>
      <c r="B1206" s="5">
        <v>-8.1033727551467205E-3</v>
      </c>
      <c r="C1206" s="5">
        <v>-1.4107380128278724E-3</v>
      </c>
      <c r="D1206" s="5">
        <v>-7.7533862680990717E-3</v>
      </c>
    </row>
    <row r="1207" spans="1:4" x14ac:dyDescent="0.25">
      <c r="A1207" s="5">
        <v>3.8495857233906916E-2</v>
      </c>
      <c r="B1207" s="5">
        <v>-4.8575844557297021E-3</v>
      </c>
      <c r="C1207" s="5">
        <v>4.4024640657083225E-3</v>
      </c>
      <c r="D1207" s="5">
        <v>8.6612690642062784E-3</v>
      </c>
    </row>
    <row r="1208" spans="1:4" x14ac:dyDescent="0.25">
      <c r="A1208" s="5">
        <v>3.6455136860193971E-2</v>
      </c>
      <c r="B1208" s="5">
        <v>1.0428222764588435E-2</v>
      </c>
      <c r="C1208" s="5">
        <v>-6.6074611975205366E-3</v>
      </c>
      <c r="D1208" s="5">
        <v>-2.6134030240806405E-3</v>
      </c>
    </row>
    <row r="1209" spans="1:4" x14ac:dyDescent="0.25">
      <c r="A1209" s="5">
        <v>-6.7621980104216051E-2</v>
      </c>
      <c r="B1209" s="5">
        <v>2.2507685551163892E-2</v>
      </c>
      <c r="C1209" s="5">
        <v>5.5483297387182162E-3</v>
      </c>
      <c r="D1209" s="5">
        <v>-6.457046603032035E-3</v>
      </c>
    </row>
    <row r="1210" spans="1:4" x14ac:dyDescent="0.25">
      <c r="A1210" s="5">
        <v>2.0703670773529748E-2</v>
      </c>
      <c r="B1210" s="5">
        <v>2.8079029313862414E-2</v>
      </c>
      <c r="C1210" s="5">
        <v>1.0495120833060367E-2</v>
      </c>
      <c r="D1210" s="5">
        <v>-1.6012056136385011E-2</v>
      </c>
    </row>
    <row r="1211" spans="1:4" x14ac:dyDescent="0.25">
      <c r="A1211" s="5">
        <v>-9.4201095072175223E-2</v>
      </c>
      <c r="B1211" s="5">
        <v>4.9819833933886892E-2</v>
      </c>
      <c r="C1211" s="5">
        <v>-1.2962392857718275E-4</v>
      </c>
      <c r="D1211" s="5">
        <v>-1.2443763759931059E-2</v>
      </c>
    </row>
    <row r="1212" spans="1:4" x14ac:dyDescent="0.25">
      <c r="A1212" s="5">
        <v>2.1981041351835096E-3</v>
      </c>
      <c r="B1212" s="5">
        <v>2.9896035417599442E-2</v>
      </c>
      <c r="C1212" s="5">
        <v>-5.0559885916154901E-3</v>
      </c>
      <c r="D1212" s="5">
        <v>-6.8818454977221943E-3</v>
      </c>
    </row>
    <row r="1213" spans="1:4" x14ac:dyDescent="0.25">
      <c r="A1213" s="5">
        <v>1.1514736120630475E-2</v>
      </c>
      <c r="B1213" s="5">
        <v>-2.0044435857805243E-2</v>
      </c>
      <c r="C1213" s="5">
        <v>5.651741941788746E-3</v>
      </c>
      <c r="D1213" s="5">
        <v>-2.2447784501268275E-3</v>
      </c>
    </row>
    <row r="1214" spans="1:4" x14ac:dyDescent="0.25">
      <c r="A1214" s="5">
        <v>-1.3416452093779618E-2</v>
      </c>
      <c r="B1214" s="5">
        <v>-1.971511656562619E-3</v>
      </c>
      <c r="C1214" s="5">
        <v>8.2761077999482513E-3</v>
      </c>
      <c r="D1214" s="5">
        <v>-1.0270957644527012E-2</v>
      </c>
    </row>
    <row r="1215" spans="1:4" x14ac:dyDescent="0.25">
      <c r="A1215" s="5">
        <v>-3.9697802197802168E-2</v>
      </c>
      <c r="B1215" s="5">
        <v>2.1680082967060033E-2</v>
      </c>
      <c r="C1215" s="5">
        <v>1.196691028833019E-2</v>
      </c>
      <c r="D1215" s="5">
        <v>4.0521842261316277E-3</v>
      </c>
    </row>
    <row r="1216" spans="1:4" x14ac:dyDescent="0.25">
      <c r="A1216" s="5">
        <v>1.5877556858818531E-2</v>
      </c>
      <c r="B1216" s="5">
        <v>-3.958816705336432E-2</v>
      </c>
      <c r="C1216" s="5">
        <v>2.6825396825396197E-3</v>
      </c>
      <c r="D1216" s="5">
        <v>6.6935722019882959E-3</v>
      </c>
    </row>
    <row r="1217" spans="1:4" x14ac:dyDescent="0.25">
      <c r="A1217" s="5">
        <v>7.0402703463812166E-4</v>
      </c>
      <c r="B1217" s="5">
        <v>-1.7514721425335944E-2</v>
      </c>
      <c r="C1217" s="5">
        <v>4.115942946698592E-4</v>
      </c>
      <c r="D1217" s="5">
        <v>-7.8224308203774795E-3</v>
      </c>
    </row>
    <row r="1218" spans="1:4" x14ac:dyDescent="0.25">
      <c r="A1218" s="5">
        <v>2.5749261291684311E-2</v>
      </c>
      <c r="B1218" s="5">
        <v>-3.6524768198350488E-2</v>
      </c>
      <c r="C1218" s="5">
        <v>-1.0617928633594453E-2</v>
      </c>
      <c r="D1218" s="5">
        <v>2.0695772149403879E-3</v>
      </c>
    </row>
    <row r="1219" spans="1:4" x14ac:dyDescent="0.25">
      <c r="A1219" s="5">
        <v>-1.1522633744855959E-2</v>
      </c>
      <c r="B1219" s="5">
        <v>3.7218205019140527E-4</v>
      </c>
      <c r="C1219" s="5">
        <v>2.8788945045101766E-3</v>
      </c>
      <c r="D1219" s="5">
        <v>8.9496459480724599E-3</v>
      </c>
    </row>
    <row r="1220" spans="1:4" x14ac:dyDescent="0.25">
      <c r="A1220" s="5">
        <v>-1.05467665834027E-2</v>
      </c>
      <c r="B1220" s="5">
        <v>5.7932500664363618E-2</v>
      </c>
      <c r="C1220" s="5">
        <v>1.9615973462618896E-3</v>
      </c>
      <c r="D1220" s="5">
        <v>-1.6570815868992561E-3</v>
      </c>
    </row>
    <row r="1221" spans="1:4" x14ac:dyDescent="0.25">
      <c r="A1221" s="5">
        <v>-4.2356241234221548E-2</v>
      </c>
      <c r="B1221" s="5">
        <v>-2.9590555136900232E-2</v>
      </c>
      <c r="C1221" s="5">
        <v>-1.1587374854759913E-2</v>
      </c>
      <c r="D1221" s="5">
        <v>9.9589923842999806E-3</v>
      </c>
    </row>
    <row r="1222" spans="1:4" x14ac:dyDescent="0.25">
      <c r="A1222" s="5">
        <v>3.5002929115407255E-2</v>
      </c>
      <c r="B1222" s="5">
        <v>3.313315386208382E-3</v>
      </c>
      <c r="C1222" s="5">
        <v>3.0113206331825459E-3</v>
      </c>
      <c r="D1222" s="5">
        <v>0</v>
      </c>
    </row>
    <row r="1223" spans="1:4" x14ac:dyDescent="0.25">
      <c r="A1223" s="5">
        <v>1.2735248337343297E-3</v>
      </c>
      <c r="B1223" s="5">
        <v>-3.5810113519091802E-2</v>
      </c>
      <c r="C1223" s="5">
        <v>-1.0628391612882537E-2</v>
      </c>
      <c r="D1223" s="5">
        <v>-8.7006960556844648E-3</v>
      </c>
    </row>
    <row r="1224" spans="1:4" x14ac:dyDescent="0.25">
      <c r="A1224" s="5">
        <v>2.5296777840587925E-2</v>
      </c>
      <c r="B1224" s="5">
        <v>1.7713796425131045E-2</v>
      </c>
      <c r="C1224" s="5">
        <v>1.0547838504477713E-3</v>
      </c>
      <c r="D1224" s="5">
        <v>-5.8513750731425951E-4</v>
      </c>
    </row>
    <row r="1225" spans="1:4" x14ac:dyDescent="0.25">
      <c r="A1225" s="5">
        <v>4.7277739490006798E-2</v>
      </c>
      <c r="B1225" s="5">
        <v>-1.8772677078403577E-2</v>
      </c>
      <c r="C1225" s="5">
        <v>1.5529510933877999E-2</v>
      </c>
      <c r="D1225" s="5">
        <v>4.5862607338016392E-3</v>
      </c>
    </row>
    <row r="1226" spans="1:4" x14ac:dyDescent="0.25">
      <c r="A1226" s="5">
        <v>9.6077915240853073E-3</v>
      </c>
      <c r="B1226" s="5">
        <v>-2.808145766345127E-2</v>
      </c>
      <c r="C1226" s="5">
        <v>2.298593707599661E-3</v>
      </c>
      <c r="D1226" s="5">
        <v>-1.5152986886838304E-2</v>
      </c>
    </row>
    <row r="1227" spans="1:4" x14ac:dyDescent="0.25">
      <c r="A1227" s="5">
        <v>3.3111719462912248E-2</v>
      </c>
      <c r="B1227" s="5">
        <v>2.8451698279664761E-2</v>
      </c>
      <c r="C1227" s="5">
        <v>4.9370132662329702E-4</v>
      </c>
      <c r="D1227" s="5">
        <v>-7.6930663773547847E-3</v>
      </c>
    </row>
    <row r="1228" spans="1:4" x14ac:dyDescent="0.25">
      <c r="A1228" s="5">
        <v>-2.7760252365930604E-2</v>
      </c>
      <c r="B1228" s="5">
        <v>-3.1524769461719893E-2</v>
      </c>
      <c r="C1228" s="5">
        <v>-1.6284104294673862E-2</v>
      </c>
      <c r="D1228" s="5">
        <v>6.4605903985687219E-2</v>
      </c>
    </row>
    <row r="1229" spans="1:4" x14ac:dyDescent="0.25">
      <c r="A1229" s="5">
        <v>-1.1550940947436694E-2</v>
      </c>
      <c r="B1229" s="5">
        <v>-9.7431355181576418E-3</v>
      </c>
      <c r="C1229" s="5">
        <v>-2.5890386575833091E-4</v>
      </c>
      <c r="D1229" s="5">
        <v>-1.6711791616095595E-2</v>
      </c>
    </row>
    <row r="1230" spans="1:4" x14ac:dyDescent="0.25">
      <c r="A1230" s="5">
        <v>-1.5887605042016806E-2</v>
      </c>
      <c r="B1230" s="5">
        <v>2.0516547406082219E-2</v>
      </c>
      <c r="C1230" s="5">
        <v>-9.3715099622873055E-3</v>
      </c>
      <c r="D1230" s="5">
        <v>-1.1963539688568225E-2</v>
      </c>
    </row>
    <row r="1231" spans="1:4" x14ac:dyDescent="0.25">
      <c r="A1231" s="5">
        <v>9.0727151434288889E-3</v>
      </c>
      <c r="B1231" s="5">
        <v>-2.5910709394686426E-2</v>
      </c>
      <c r="C1231" s="5">
        <v>-8.2347558983073554E-3</v>
      </c>
      <c r="D1231" s="5">
        <v>2.8252931001345294E-2</v>
      </c>
    </row>
    <row r="1232" spans="1:4" x14ac:dyDescent="0.25">
      <c r="A1232" s="5">
        <v>1.0048922385296866E-2</v>
      </c>
      <c r="B1232" s="5">
        <v>1.3721741086492045E-2</v>
      </c>
      <c r="C1232" s="5">
        <v>3.624382207578325E-3</v>
      </c>
      <c r="D1232" s="5">
        <v>1.9626168224299079E-2</v>
      </c>
    </row>
    <row r="1233" spans="1:4" x14ac:dyDescent="0.25">
      <c r="A1233" s="5">
        <v>-4.4770257887158049E-2</v>
      </c>
      <c r="B1233" s="5">
        <v>-1.8084988350160924E-2</v>
      </c>
      <c r="C1233" s="5">
        <v>-1.5167432698621197E-2</v>
      </c>
      <c r="D1233" s="5">
        <v>1.2923923006416205E-2</v>
      </c>
    </row>
    <row r="1234" spans="1:4" x14ac:dyDescent="0.25">
      <c r="A1234" s="5">
        <v>9.3188981773331125E-3</v>
      </c>
      <c r="B1234" s="5">
        <v>1.6497175141243048E-2</v>
      </c>
      <c r="C1234" s="5">
        <v>9.9506633775585662E-3</v>
      </c>
      <c r="D1234" s="5">
        <v>9.229933942629609E-3</v>
      </c>
    </row>
    <row r="1235" spans="1:4" x14ac:dyDescent="0.25">
      <c r="A1235" s="5">
        <v>5.8520027155465115E-2</v>
      </c>
      <c r="B1235" s="5">
        <v>8.5593597154289824E-3</v>
      </c>
      <c r="C1235" s="5">
        <v>1.4869704421302865E-2</v>
      </c>
      <c r="D1235" s="5">
        <v>7.8902537433873654E-3</v>
      </c>
    </row>
    <row r="1236" spans="1:4" x14ac:dyDescent="0.25">
      <c r="A1236" s="5">
        <v>-2.0523345305284435E-3</v>
      </c>
      <c r="B1236" s="5">
        <v>-1.0305301443844339E-2</v>
      </c>
      <c r="C1236" s="5">
        <v>9.3017204930563313E-3</v>
      </c>
      <c r="D1236" s="5">
        <v>1.7792011386887241E-2</v>
      </c>
    </row>
    <row r="1237" spans="1:4" x14ac:dyDescent="0.25">
      <c r="A1237" s="5">
        <v>4.8200514138817541E-2</v>
      </c>
      <c r="B1237" s="5">
        <v>2.1103624923436648E-2</v>
      </c>
      <c r="C1237" s="5">
        <v>6.9119969065187803E-3</v>
      </c>
      <c r="D1237" s="5">
        <v>3.7584127261602873E-3</v>
      </c>
    </row>
    <row r="1238" spans="1:4" x14ac:dyDescent="0.25">
      <c r="A1238" s="5">
        <v>2.060085836909864E-2</v>
      </c>
      <c r="B1238" s="5">
        <v>-5.2895626567782683E-3</v>
      </c>
      <c r="C1238" s="5">
        <v>5.536442915433204E-3</v>
      </c>
      <c r="D1238" s="5">
        <v>2.3510971786833146E-3</v>
      </c>
    </row>
    <row r="1239" spans="1:4" x14ac:dyDescent="0.25">
      <c r="A1239" s="5">
        <v>-4.9261083743842304E-3</v>
      </c>
      <c r="B1239" s="5">
        <v>1.7213968532426849E-2</v>
      </c>
      <c r="C1239" s="5">
        <v>-4.5989083560096233E-3</v>
      </c>
      <c r="D1239" s="5">
        <v>-1.3465380939970517E-2</v>
      </c>
    </row>
    <row r="1240" spans="1:4" x14ac:dyDescent="0.25">
      <c r="A1240" s="5">
        <v>-1.4609997585124379E-2</v>
      </c>
      <c r="B1240" s="5">
        <v>-3.1258420910805773E-3</v>
      </c>
      <c r="C1240" s="5">
        <v>1.6945901010358977E-3</v>
      </c>
      <c r="D1240" s="5">
        <v>1.3208876364917188E-2</v>
      </c>
    </row>
    <row r="1241" spans="1:4" x14ac:dyDescent="0.25">
      <c r="A1241" s="5">
        <v>-6.7393701752236357E-3</v>
      </c>
      <c r="B1241" s="5">
        <v>-6.433475698761959E-3</v>
      </c>
      <c r="C1241" s="5">
        <v>3.4951642248395309E-3</v>
      </c>
      <c r="D1241" s="5">
        <v>-1.6339301234138737E-2</v>
      </c>
    </row>
    <row r="1242" spans="1:4" x14ac:dyDescent="0.25">
      <c r="A1242" s="5">
        <v>4.0710584752035039E-3</v>
      </c>
      <c r="B1242" s="5">
        <v>-1.5507672216780954E-2</v>
      </c>
      <c r="C1242" s="5">
        <v>8.4291553350190895E-4</v>
      </c>
      <c r="D1242" s="5">
        <v>2.0675030924191651E-2</v>
      </c>
    </row>
    <row r="1243" spans="1:4" x14ac:dyDescent="0.25">
      <c r="A1243" s="5">
        <v>-4.4231478068559316E-3</v>
      </c>
      <c r="B1243" s="5">
        <v>-3.2664566406897744E-2</v>
      </c>
      <c r="C1243" s="5">
        <v>1.8750993167011565E-3</v>
      </c>
      <c r="D1243" s="5">
        <v>1.021468144044313E-2</v>
      </c>
    </row>
    <row r="1244" spans="1:4" x14ac:dyDescent="0.25">
      <c r="A1244" s="5">
        <v>-2.3077872392940901E-2</v>
      </c>
      <c r="B1244" s="5">
        <v>7.2563135641641185E-3</v>
      </c>
      <c r="C1244" s="5">
        <v>-2.9659941631772213E-3</v>
      </c>
      <c r="D1244" s="5">
        <v>7.712082262210096E-4</v>
      </c>
    </row>
    <row r="1245" spans="1:4" x14ac:dyDescent="0.25">
      <c r="A1245" s="5">
        <v>3.5118746841839243E-2</v>
      </c>
      <c r="B1245" s="5">
        <v>8.1116342390379348E-3</v>
      </c>
      <c r="C1245" s="5">
        <v>-8.1131385119548316E-4</v>
      </c>
      <c r="D1245" s="5">
        <v>-1.1730456374689613E-2</v>
      </c>
    </row>
    <row r="1246" spans="1:4" x14ac:dyDescent="0.25">
      <c r="A1246" s="5">
        <v>1.6841591408347512E-2</v>
      </c>
      <c r="B1246" s="5">
        <v>-3.8149898717083075E-2</v>
      </c>
      <c r="C1246" s="5">
        <v>6.4639388632383721E-3</v>
      </c>
      <c r="D1246" s="5">
        <v>2.0793623288857255E-3</v>
      </c>
    </row>
    <row r="1247" spans="1:4" x14ac:dyDescent="0.25">
      <c r="A1247" s="5">
        <v>3.5285645703312607E-2</v>
      </c>
      <c r="B1247" s="5">
        <v>1.7959517959518001E-2</v>
      </c>
      <c r="C1247" s="5">
        <v>2.4519109086307278E-3</v>
      </c>
      <c r="D1247" s="5">
        <v>-7.1762061213902495E-3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78500-FCCE-4DB5-8DB0-761E25261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GDX</vt:lpstr>
      <vt:lpstr>NVDA</vt:lpstr>
      <vt:lpstr>VOO</vt:lpstr>
      <vt:lpstr>WMT</vt:lpstr>
      <vt:lpstr>Correlations</vt:lpstr>
      <vt:lpstr>Dataset</vt:lpstr>
      <vt:lpstr>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cp:lastModifiedBy>Workstation</cp:lastModifiedBy>
  <dcterms:created xsi:type="dcterms:W3CDTF">2025-12-18T22:23:44Z</dcterms:created>
  <dcterms:modified xsi:type="dcterms:W3CDTF">2025-12-18T23:33:07Z</dcterms:modified>
</cp:coreProperties>
</file>